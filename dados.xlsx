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andro.pereira\Downloads\"/>
    </mc:Choice>
  </mc:AlternateContent>
  <xr:revisionPtr revIDLastSave="0" documentId="13_ncr:1_{24C0A539-99D2-4FEC-8AE1-AAB934C7CDB0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Dashboard" sheetId="1" r:id="rId1"/>
    <sheet name="Dados_Diarios" sheetId="2" r:id="rId2"/>
    <sheet name="Resumo_Mensal" sheetId="3" r:id="rId3"/>
    <sheet name="Promocoes" sheetId="4" r:id="rId4"/>
    <sheet name="Produtos" sheetId="5" r:id="rId5"/>
    <sheet name="Parametr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D6" i="5" s="1"/>
  <c r="E6" i="5" s="1"/>
  <c r="D5" i="5"/>
  <c r="E5" i="5" s="1"/>
  <c r="B5" i="5"/>
  <c r="B4" i="5"/>
  <c r="D4" i="5" s="1"/>
  <c r="E4" i="5" s="1"/>
  <c r="B3" i="5"/>
  <c r="D3" i="5" s="1"/>
  <c r="E3" i="5" s="1"/>
  <c r="B2" i="5"/>
  <c r="D2" i="5" s="1"/>
  <c r="E2" i="5" s="1"/>
  <c r="G7" i="4"/>
  <c r="G6" i="4"/>
  <c r="G5" i="4"/>
  <c r="G4" i="4"/>
  <c r="G3" i="4"/>
  <c r="G2" i="4"/>
  <c r="P10" i="3"/>
  <c r="O10" i="3"/>
  <c r="N10" i="3"/>
  <c r="M10" i="3"/>
  <c r="L10" i="3"/>
  <c r="H10" i="3"/>
  <c r="G10" i="3"/>
  <c r="F10" i="3"/>
  <c r="J10" i="3" s="1"/>
  <c r="E10" i="3"/>
  <c r="D10" i="3"/>
  <c r="K10" i="3" s="1"/>
  <c r="F22" i="1" s="1"/>
  <c r="C10" i="3"/>
  <c r="B10" i="3"/>
  <c r="P9" i="3"/>
  <c r="O9" i="3"/>
  <c r="N9" i="3"/>
  <c r="M9" i="3"/>
  <c r="L9" i="3"/>
  <c r="E21" i="1" s="1"/>
  <c r="H9" i="3"/>
  <c r="G9" i="3"/>
  <c r="F9" i="3"/>
  <c r="J9" i="3" s="1"/>
  <c r="E9" i="3"/>
  <c r="D9" i="3"/>
  <c r="K9" i="3" s="1"/>
  <c r="F21" i="1" s="1"/>
  <c r="C9" i="3"/>
  <c r="B9" i="3"/>
  <c r="P8" i="3"/>
  <c r="O8" i="3"/>
  <c r="N8" i="3"/>
  <c r="M8" i="3"/>
  <c r="L8" i="3"/>
  <c r="K8" i="3"/>
  <c r="H8" i="3"/>
  <c r="G8" i="3"/>
  <c r="F8" i="3"/>
  <c r="J8" i="3" s="1"/>
  <c r="E8" i="3"/>
  <c r="D8" i="3"/>
  <c r="C8" i="3"/>
  <c r="B8" i="3"/>
  <c r="P7" i="3"/>
  <c r="O7" i="3"/>
  <c r="N7" i="3"/>
  <c r="M7" i="3"/>
  <c r="L7" i="3"/>
  <c r="C31" i="1" s="1"/>
  <c r="J7" i="3"/>
  <c r="H7" i="3"/>
  <c r="G7" i="3"/>
  <c r="F7" i="3"/>
  <c r="I7" i="3" s="1"/>
  <c r="C19" i="1" s="1"/>
  <c r="E7" i="3"/>
  <c r="D7" i="3"/>
  <c r="K7" i="3" s="1"/>
  <c r="F19" i="1" s="1"/>
  <c r="C7" i="3"/>
  <c r="B7" i="3"/>
  <c r="B31" i="1" s="1"/>
  <c r="P6" i="3"/>
  <c r="O6" i="3"/>
  <c r="N6" i="3"/>
  <c r="M6" i="3"/>
  <c r="L6" i="3"/>
  <c r="E18" i="1" s="1"/>
  <c r="K6" i="3"/>
  <c r="F18" i="1" s="1"/>
  <c r="I6" i="3"/>
  <c r="C18" i="1" s="1"/>
  <c r="H6" i="3"/>
  <c r="G6" i="3"/>
  <c r="F6" i="3"/>
  <c r="J6" i="3" s="1"/>
  <c r="E6" i="3"/>
  <c r="D6" i="3"/>
  <c r="K5" i="1" s="1"/>
  <c r="C6" i="3"/>
  <c r="B6" i="3"/>
  <c r="P5" i="3"/>
  <c r="O5" i="3"/>
  <c r="N5" i="3"/>
  <c r="M5" i="3"/>
  <c r="L5" i="3"/>
  <c r="J5" i="3"/>
  <c r="H5" i="3"/>
  <c r="G5" i="3"/>
  <c r="F5" i="3"/>
  <c r="I5" i="3" s="1"/>
  <c r="C17" i="1" s="1"/>
  <c r="E5" i="3"/>
  <c r="D5" i="3"/>
  <c r="C5" i="3"/>
  <c r="B5" i="3"/>
  <c r="D17" i="1" s="1"/>
  <c r="P4" i="3"/>
  <c r="O4" i="3"/>
  <c r="N4" i="3"/>
  <c r="M4" i="3"/>
  <c r="L4" i="3"/>
  <c r="J4" i="3"/>
  <c r="H4" i="3"/>
  <c r="G4" i="3"/>
  <c r="I4" i="3" s="1"/>
  <c r="C16" i="1" s="1"/>
  <c r="F4" i="3"/>
  <c r="E4" i="3"/>
  <c r="D4" i="3"/>
  <c r="K4" i="3" s="1"/>
  <c r="F16" i="1" s="1"/>
  <c r="C4" i="3"/>
  <c r="B4" i="3"/>
  <c r="B28" i="1" s="1"/>
  <c r="P3" i="3"/>
  <c r="O3" i="3"/>
  <c r="N3" i="3"/>
  <c r="M3" i="3"/>
  <c r="L3" i="3"/>
  <c r="H3" i="3"/>
  <c r="G3" i="3"/>
  <c r="F3" i="3"/>
  <c r="I3" i="3" s="1"/>
  <c r="C15" i="1" s="1"/>
  <c r="E3" i="3"/>
  <c r="D3" i="3"/>
  <c r="K3" i="3" s="1"/>
  <c r="F15" i="1" s="1"/>
  <c r="C3" i="3"/>
  <c r="B3" i="3"/>
  <c r="P2" i="3"/>
  <c r="O2" i="3"/>
  <c r="K8" i="1" s="1"/>
  <c r="N2" i="3"/>
  <c r="M2" i="3"/>
  <c r="H8" i="1" s="1"/>
  <c r="L2" i="3"/>
  <c r="C26" i="1" s="1"/>
  <c r="H2" i="3"/>
  <c r="G2" i="3"/>
  <c r="F2" i="3"/>
  <c r="J2" i="3" s="1"/>
  <c r="E2" i="3"/>
  <c r="H5" i="1" s="1"/>
  <c r="D2" i="3"/>
  <c r="K2" i="3" s="1"/>
  <c r="F14" i="1" s="1"/>
  <c r="C2" i="3"/>
  <c r="B2" i="3"/>
  <c r="C34" i="1"/>
  <c r="B34" i="1"/>
  <c r="C33" i="1"/>
  <c r="B33" i="1"/>
  <c r="C32" i="1"/>
  <c r="B32" i="1"/>
  <c r="B30" i="1"/>
  <c r="C29" i="1"/>
  <c r="C28" i="1"/>
  <c r="C27" i="1"/>
  <c r="B27" i="1"/>
  <c r="B26" i="1"/>
  <c r="E22" i="1"/>
  <c r="D22" i="1"/>
  <c r="B22" i="1"/>
  <c r="D21" i="1"/>
  <c r="F20" i="1"/>
  <c r="E20" i="1"/>
  <c r="D20" i="1"/>
  <c r="E19" i="1"/>
  <c r="B19" i="1"/>
  <c r="D18" i="1"/>
  <c r="B18" i="1"/>
  <c r="E17" i="1"/>
  <c r="B17" i="1"/>
  <c r="E16" i="1"/>
  <c r="D16" i="1"/>
  <c r="B16" i="1"/>
  <c r="E15" i="1"/>
  <c r="D15" i="1"/>
  <c r="E14" i="1"/>
  <c r="D14" i="1"/>
  <c r="B14" i="1"/>
  <c r="D19" i="1" l="1"/>
  <c r="B21" i="1"/>
  <c r="B29" i="1"/>
  <c r="E8" i="1"/>
  <c r="B15" i="1"/>
  <c r="K5" i="3"/>
  <c r="F17" i="1" s="1"/>
  <c r="B20" i="1"/>
  <c r="C30" i="1"/>
  <c r="I2" i="3"/>
  <c r="J3" i="3"/>
  <c r="I10" i="3"/>
  <c r="C22" i="1" s="1"/>
  <c r="I9" i="3"/>
  <c r="C21" i="1" s="1"/>
  <c r="B5" i="1"/>
  <c r="I8" i="3"/>
  <c r="C20" i="1" s="1"/>
  <c r="E5" i="1"/>
  <c r="C14" i="1" l="1"/>
  <c r="B8" i="1"/>
</calcChain>
</file>

<file path=xl/sharedStrings.xml><?xml version="1.0" encoding="utf-8"?>
<sst xmlns="http://schemas.openxmlformats.org/spreadsheetml/2006/main" count="670" uniqueCount="98">
  <si>
    <t>SEU BETO BURGER • PAINEL DE MÉTRICAS</t>
  </si>
  <si>
    <t>Dashboard gerencial fictício • vendas, operação, promoções presenciais e fidelização</t>
  </si>
  <si>
    <t>Período</t>
  </si>
  <si>
    <t>Todos</t>
  </si>
  <si>
    <t>Faturamento</t>
  </si>
  <si>
    <t>Clientes</t>
  </si>
  <si>
    <t>Ticket Médio</t>
  </si>
  <si>
    <t>Taxa Recompra</t>
  </si>
  <si>
    <t>Lucro Operacional</t>
  </si>
  <si>
    <t>Combos Vendidos</t>
  </si>
  <si>
    <t>Cartões Fidelidade</t>
  </si>
  <si>
    <t>Cupons Utilizados</t>
  </si>
  <si>
    <t>Indicadores calculados a partir de dados fictícios de 01/01 a 17/09/2026. Use o seletor de período para atualizar os KPIs.</t>
  </si>
  <si>
    <t>Mês</t>
  </si>
  <si>
    <t>Lucro</t>
  </si>
  <si>
    <t>Combos</t>
  </si>
  <si>
    <t>Recompra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</si>
  <si>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</si>
  <si>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</si>
  <si>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</si>
  <si>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</si>
  <si>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</si>
  <si>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</si>
  <si>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</si>
  <si>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</si>
  <si>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</si>
  <si>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Data</t>
  </si>
  <si>
    <t>Dia</t>
  </si>
  <si>
    <t>Novos</t>
  </si>
  <si>
    <t>Recorrentes</t>
  </si>
  <si>
    <t>Pedidos</t>
  </si>
  <si>
    <t>CMV</t>
  </si>
  <si>
    <t>Custos Operacionais</t>
  </si>
  <si>
    <t>X-Tudo</t>
  </si>
  <si>
    <t>X-Salada</t>
  </si>
  <si>
    <t>X-Burger</t>
  </si>
  <si>
    <t>Fritas</t>
  </si>
  <si>
    <t>Cartões Completos</t>
  </si>
  <si>
    <t>Cupons Usados</t>
  </si>
  <si>
    <t>Vendas Promoção</t>
  </si>
  <si>
    <t>Qui</t>
  </si>
  <si>
    <t>Sex</t>
  </si>
  <si>
    <t>Sáb</t>
  </si>
  <si>
    <t>Dom</t>
  </si>
  <si>
    <t>Seg</t>
  </si>
  <si>
    <t>Ter</t>
  </si>
  <si>
    <t>Qua</t>
  </si>
  <si>
    <t>Custos Op.</t>
  </si>
  <si>
    <t>Cartões</t>
  </si>
  <si>
    <t>Completos</t>
  </si>
  <si>
    <t>Cupons</t>
  </si>
  <si>
    <t>Ação</t>
  </si>
  <si>
    <t>Canal</t>
  </si>
  <si>
    <t>Objetivo</t>
  </si>
  <si>
    <t>Custo estimado</t>
  </si>
  <si>
    <t>Vendas atribuídas</t>
  </si>
  <si>
    <t>Receita atribuída</t>
  </si>
  <si>
    <t>ROI</t>
  </si>
  <si>
    <t>Lousa Oferta do Dia</t>
  </si>
  <si>
    <t>Físico</t>
  </si>
  <si>
    <t>Conversão</t>
  </si>
  <si>
    <t>Cartão Fidelidade</t>
  </si>
  <si>
    <t>Cupom de Retorno</t>
  </si>
  <si>
    <t>Retorno</t>
  </si>
  <si>
    <t>Traga a Galera</t>
  </si>
  <si>
    <t>Ticket médio</t>
  </si>
  <si>
    <t>Display de Combo</t>
  </si>
  <si>
    <t>Balcão</t>
  </si>
  <si>
    <t>Upsell</t>
  </si>
  <si>
    <t>Posts/Stories locais</t>
  </si>
  <si>
    <t>Digital</t>
  </si>
  <si>
    <t>Descoberta</t>
  </si>
  <si>
    <t>Produto</t>
  </si>
  <si>
    <t>Unidades</t>
  </si>
  <si>
    <t>Preço médio</t>
  </si>
  <si>
    <t>Receita</t>
  </si>
  <si>
    <t>Participação</t>
  </si>
  <si>
    <t>Margem estimada</t>
  </si>
  <si>
    <t>Observação</t>
  </si>
  <si>
    <t>Maior apelo visual; forte em combos</t>
  </si>
  <si>
    <t>Clássico e recorrente</t>
  </si>
  <si>
    <t>Entrada de preço</t>
  </si>
  <si>
    <t>Complemento e upsell</t>
  </si>
  <si>
    <t>Eleva ticket médio</t>
  </si>
  <si>
    <t>Parâmetro</t>
  </si>
  <si>
    <t>Valor</t>
  </si>
  <si>
    <t>Meses</t>
  </si>
  <si>
    <t>CMV alvo</t>
  </si>
  <si>
    <t>Custos operacionais alvo</t>
  </si>
  <si>
    <t>Ticket médio alvo</t>
  </si>
  <si>
    <t>Taxa recompra alvo</t>
  </si>
  <si>
    <t>Conversão fidelidade alvo</t>
  </si>
  <si>
    <t>Uso cupom alvo</t>
  </si>
  <si>
    <t>Meta faturamento mensal</t>
  </si>
  <si>
    <t>Meta clientes/mês</t>
  </si>
  <si>
    <t>Meta combos/mês</t>
  </si>
  <si>
    <t>Meta cartões fidelidade/mês</t>
  </si>
  <si>
    <t>Meta promoções presenciais/mês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</si>
</sst>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"/>
    <numFmt numFmtId="165" formatCode="\R\$\ #,##0.00"/>
    <numFmt numFmtId="166" formatCode="0.0%"/>
  </numFmts>
  <fonts count="8">
    <font>
      <sz val="11"/>
      <name val="Carlito"/>
    </font>
    <font>
      <b/>
      <sz val="11"/>
      <color rgb="FFF4E5C5"/>
      <name val="Carlito"/>
    </font>
    <font>
      <b/>
      <sz val="24"/>
      <color rgb="FFD99A1A"/>
      <name val="Carlito"/>
    </font>
    <font>
      <i/>
      <sz val="11"/>
      <color rgb="FFF4E5C5"/>
      <name val="Carlito"/>
    </font>
    <font>
      <b/>
      <sz val="11"/>
      <color rgb="FF211C18"/>
      <name val="Carlito"/>
    </font>
    <font>
      <b/>
      <sz val="11"/>
      <color rgb="FFFFFFFF"/>
      <name val="Carlito"/>
    </font>
    <font>
      <b/>
      <sz val="16"/>
      <color rgb="FF211C18"/>
      <name val="Carlito"/>
    </font>
    <font>
      <i/>
      <sz val="11"/>
      <color rgb="FF211C18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11C18"/>
      </patternFill>
    </fill>
    <fill>
      <patternFill patternType="solid">
        <fgColor rgb="FFF4E5C5"/>
      </patternFill>
    </fill>
    <fill>
      <patternFill patternType="solid">
        <fgColor rgb="FFA5281D"/>
      </patternFill>
    </fill>
    <fill>
      <patternFill patternType="solid">
        <fgColor rgb="FFFFF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0" fontId="4" fillId="3" borderId="0" xfId="0" applyFont="1" applyFill="1"/>
    <xf numFmtId="0" fontId="5" fillId="4" borderId="0" xfId="0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166" fontId="6" fillId="3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7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Faturamento x Lucro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Faturamento</c:v>
          </c:tx>
          <c:marker>
            <c:symbol val="none"/>
          </c:marker>
          <c:cat>
            <c:strRef>
              <c:f>Dashboard!$A$14:$A$22</c:f>
              <c:strCache>
                <c:ptCount val="9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</c:strCache>
            </c:strRef>
          </c:cat>
          <c:val>
            <c:numRef>
              <c:f>Dashboard!$B$14:$B$22</c:f>
              <c:numCache>
                <c:formatCode>\R\$\ #,##0</c:formatCode>
                <c:ptCount val="9"/>
                <c:pt idx="0">
                  <c:v>52689.979999999996</c:v>
                </c:pt>
                <c:pt idx="1">
                  <c:v>47546.06</c:v>
                </c:pt>
                <c:pt idx="2">
                  <c:v>48871.960000000021</c:v>
                </c:pt>
                <c:pt idx="3">
                  <c:v>45522.269999999982</c:v>
                </c:pt>
                <c:pt idx="4">
                  <c:v>47730.739999999991</c:v>
                </c:pt>
                <c:pt idx="5">
                  <c:v>49042.79</c:v>
                </c:pt>
                <c:pt idx="6">
                  <c:v>52913.599999999991</c:v>
                </c:pt>
                <c:pt idx="7">
                  <c:v>50519.69999999999</c:v>
                </c:pt>
                <c:pt idx="8">
                  <c:v>24223.59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93-428B-A1D5-385ACB853BDE}"/>
            </c:ext>
          </c:extLst>
        </c:ser>
        <c:ser>
          <c:idx val="1"/>
          <c:order val="1"/>
          <c:tx>
            <c:v>Lucro</c:v>
          </c:tx>
          <c:marker>
            <c:symbol val="none"/>
          </c:marker>
          <c:cat>
            <c:strRef>
              <c:f>Dashboard!$A$14:$A$22</c:f>
              <c:strCache>
                <c:ptCount val="9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</c:strCache>
            </c:strRef>
          </c:cat>
          <c:val>
            <c:numRef>
              <c:f>Dashboard!$C$14:$C$22</c:f>
              <c:numCache>
                <c:formatCode>\R\$\ #,##0</c:formatCode>
                <c:ptCount val="9"/>
                <c:pt idx="0">
                  <c:v>21832.519999999997</c:v>
                </c:pt>
                <c:pt idx="1">
                  <c:v>19645.169999999998</c:v>
                </c:pt>
                <c:pt idx="2">
                  <c:v>20707.000000000025</c:v>
                </c:pt>
                <c:pt idx="3">
                  <c:v>19233.179999999986</c:v>
                </c:pt>
                <c:pt idx="4">
                  <c:v>20357.049999999988</c:v>
                </c:pt>
                <c:pt idx="5">
                  <c:v>20727.840000000004</c:v>
                </c:pt>
                <c:pt idx="6">
                  <c:v>22244.909999999982</c:v>
                </c:pt>
                <c:pt idx="7">
                  <c:v>20977.159999999989</c:v>
                </c:pt>
                <c:pt idx="8">
                  <c:v>10240.09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293-428B-A1D5-385ACB853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Clientes x Combos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Clientes</c:v>
          </c:tx>
          <c:invertIfNegative val="1"/>
          <c:cat>
            <c:strRef>
              <c:f>Dashboard!$A$26:$A$34</c:f>
              <c:strCache>
                <c:ptCount val="9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</c:strCache>
            </c:strRef>
          </c:cat>
          <c:val>
            <c:numRef>
              <c:f>Dashboard!$B$26:$B$34</c:f>
              <c:numCache>
                <c:formatCode>General</c:formatCode>
                <c:ptCount val="9"/>
                <c:pt idx="0">
                  <c:v>1854</c:v>
                </c:pt>
                <c:pt idx="1">
                  <c:v>1654</c:v>
                </c:pt>
                <c:pt idx="2">
                  <c:v>1704</c:v>
                </c:pt>
                <c:pt idx="3">
                  <c:v>1580</c:v>
                </c:pt>
                <c:pt idx="4">
                  <c:v>1668</c:v>
                </c:pt>
                <c:pt idx="5">
                  <c:v>1703</c:v>
                </c:pt>
                <c:pt idx="6">
                  <c:v>1876</c:v>
                </c:pt>
                <c:pt idx="7">
                  <c:v>1757</c:v>
                </c:pt>
                <c:pt idx="8">
                  <c:v>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B-4C0F-BD70-027BB332ED5E}"/>
            </c:ext>
          </c:extLst>
        </c:ser>
        <c:ser>
          <c:idx val="1"/>
          <c:order val="1"/>
          <c:tx>
            <c:v>Combos</c:v>
          </c:tx>
          <c:invertIfNegative val="1"/>
          <c:cat>
            <c:strRef>
              <c:f>Dashboard!$A$26:$A$34</c:f>
              <c:strCache>
                <c:ptCount val="9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</c:strCache>
            </c:strRef>
          </c:cat>
          <c:val>
            <c:numRef>
              <c:f>Dashboard!$C$26:$C$34</c:f>
              <c:numCache>
                <c:formatCode>General</c:formatCode>
                <c:ptCount val="9"/>
                <c:pt idx="0">
                  <c:v>509</c:v>
                </c:pt>
                <c:pt idx="1">
                  <c:v>410</c:v>
                </c:pt>
                <c:pt idx="2">
                  <c:v>453</c:v>
                </c:pt>
                <c:pt idx="3">
                  <c:v>413</c:v>
                </c:pt>
                <c:pt idx="4">
                  <c:v>444</c:v>
                </c:pt>
                <c:pt idx="5">
                  <c:v>446</c:v>
                </c:pt>
                <c:pt idx="6">
                  <c:v>503</c:v>
                </c:pt>
                <c:pt idx="7">
                  <c:v>474</c:v>
                </c:pt>
                <c:pt idx="8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AB-4C0F-BD70-027BB332E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Desempenho das ações promocionais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Canal</c:v>
          </c:tx>
          <c:invertIfNegative val="1"/>
          <c:cat>
            <c:strRef>
              <c:f>Promocoes!$A$2:$A$7</c:f>
              <c:strCache>
                <c:ptCount val="6"/>
                <c:pt idx="0">
                  <c:v>Lousa Oferta do Dia</c:v>
                </c:pt>
                <c:pt idx="1">
                  <c:v>Cartão Fidelidade</c:v>
                </c:pt>
                <c:pt idx="2">
                  <c:v>Cupom de Retorno</c:v>
                </c:pt>
                <c:pt idx="3">
                  <c:v>Traga a Galera</c:v>
                </c:pt>
                <c:pt idx="4">
                  <c:v>Display de Combo</c:v>
                </c:pt>
                <c:pt idx="5">
                  <c:v>Posts/Stories locais</c:v>
                </c:pt>
              </c:strCache>
            </c:strRef>
          </c:cat>
          <c:val>
            <c:numRef>
              <c:f>Promocoes!$B$2:$B$7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3-48AE-92CE-E51D47EA108D}"/>
            </c:ext>
          </c:extLst>
        </c:ser>
        <c:ser>
          <c:idx val="1"/>
          <c:order val="1"/>
          <c:tx>
            <c:v>Objetivo</c:v>
          </c:tx>
          <c:invertIfNegative val="1"/>
          <c:cat>
            <c:strRef>
              <c:f>Promocoes!$A$2:$A$7</c:f>
              <c:strCache>
                <c:ptCount val="6"/>
                <c:pt idx="0">
                  <c:v>Lousa Oferta do Dia</c:v>
                </c:pt>
                <c:pt idx="1">
                  <c:v>Cartão Fidelidade</c:v>
                </c:pt>
                <c:pt idx="2">
                  <c:v>Cupom de Retorno</c:v>
                </c:pt>
                <c:pt idx="3">
                  <c:v>Traga a Galera</c:v>
                </c:pt>
                <c:pt idx="4">
                  <c:v>Display de Combo</c:v>
                </c:pt>
                <c:pt idx="5">
                  <c:v>Posts/Stories locais</c:v>
                </c:pt>
              </c:strCache>
            </c:strRef>
          </c:cat>
          <c:val>
            <c:numRef>
              <c:f>Promocoes!$C$2:$C$7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B3-48AE-92CE-E51D47EA108D}"/>
            </c:ext>
          </c:extLst>
        </c:ser>
        <c:ser>
          <c:idx val="2"/>
          <c:order val="2"/>
          <c:tx>
            <c:v>Custo estimado</c:v>
          </c:tx>
          <c:invertIfNegative val="1"/>
          <c:cat>
            <c:strRef>
              <c:f>Promocoes!$A$2:$A$7</c:f>
              <c:strCache>
                <c:ptCount val="6"/>
                <c:pt idx="0">
                  <c:v>Lousa Oferta do Dia</c:v>
                </c:pt>
                <c:pt idx="1">
                  <c:v>Cartão Fidelidade</c:v>
                </c:pt>
                <c:pt idx="2">
                  <c:v>Cupom de Retorno</c:v>
                </c:pt>
                <c:pt idx="3">
                  <c:v>Traga a Galera</c:v>
                </c:pt>
                <c:pt idx="4">
                  <c:v>Display de Combo</c:v>
                </c:pt>
                <c:pt idx="5">
                  <c:v>Posts/Stories locais</c:v>
                </c:pt>
              </c:strCache>
            </c:strRef>
          </c:cat>
          <c:val>
            <c:numRef>
              <c:f>Promocoes!$D$2:$D$7</c:f>
              <c:numCache>
                <c:formatCode>\R\$\ #,##0.00</c:formatCode>
                <c:ptCount val="6"/>
                <c:pt idx="0">
                  <c:v>120</c:v>
                </c:pt>
                <c:pt idx="1">
                  <c:v>180</c:v>
                </c:pt>
                <c:pt idx="2">
                  <c:v>140</c:v>
                </c:pt>
                <c:pt idx="3">
                  <c:v>250</c:v>
                </c:pt>
                <c:pt idx="4">
                  <c:v>90</c:v>
                </c:pt>
                <c:pt idx="5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B3-48AE-92CE-E51D47EA108D}"/>
            </c:ext>
          </c:extLst>
        </c:ser>
        <c:ser>
          <c:idx val="3"/>
          <c:order val="3"/>
          <c:tx>
            <c:v>Vendas atribuídas</c:v>
          </c:tx>
          <c:invertIfNegative val="1"/>
          <c:cat>
            <c:strRef>
              <c:f>Promocoes!$A$2:$A$7</c:f>
              <c:strCache>
                <c:ptCount val="6"/>
                <c:pt idx="0">
                  <c:v>Lousa Oferta do Dia</c:v>
                </c:pt>
                <c:pt idx="1">
                  <c:v>Cartão Fidelidade</c:v>
                </c:pt>
                <c:pt idx="2">
                  <c:v>Cupom de Retorno</c:v>
                </c:pt>
                <c:pt idx="3">
                  <c:v>Traga a Galera</c:v>
                </c:pt>
                <c:pt idx="4">
                  <c:v>Display de Combo</c:v>
                </c:pt>
                <c:pt idx="5">
                  <c:v>Posts/Stories locais</c:v>
                </c:pt>
              </c:strCache>
            </c:strRef>
          </c:cat>
          <c:val>
            <c:numRef>
              <c:f>Promocoes!$E$2:$E$7</c:f>
              <c:numCache>
                <c:formatCode>\R\$\ #,##0.00</c:formatCode>
                <c:ptCount val="6"/>
                <c:pt idx="0">
                  <c:v>380</c:v>
                </c:pt>
                <c:pt idx="1">
                  <c:v>245</c:v>
                </c:pt>
                <c:pt idx="2">
                  <c:v>162</c:v>
                </c:pt>
                <c:pt idx="3">
                  <c:v>118</c:v>
                </c:pt>
                <c:pt idx="4">
                  <c:v>420</c:v>
                </c:pt>
                <c:pt idx="5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B3-48AE-92CE-E51D47EA108D}"/>
            </c:ext>
          </c:extLst>
        </c:ser>
        <c:ser>
          <c:idx val="4"/>
          <c:order val="4"/>
          <c:tx>
            <c:v>Receita atribuída</c:v>
          </c:tx>
          <c:invertIfNegative val="1"/>
          <c:cat>
            <c:strRef>
              <c:f>Promocoes!$A$2:$A$7</c:f>
              <c:strCache>
                <c:ptCount val="6"/>
                <c:pt idx="0">
                  <c:v>Lousa Oferta do Dia</c:v>
                </c:pt>
                <c:pt idx="1">
                  <c:v>Cartão Fidelidade</c:v>
                </c:pt>
                <c:pt idx="2">
                  <c:v>Cupom de Retorno</c:v>
                </c:pt>
                <c:pt idx="3">
                  <c:v>Traga a Galera</c:v>
                </c:pt>
                <c:pt idx="4">
                  <c:v>Display de Combo</c:v>
                </c:pt>
                <c:pt idx="5">
                  <c:v>Posts/Stories locais</c:v>
                </c:pt>
              </c:strCache>
            </c:strRef>
          </c:cat>
          <c:val>
            <c:numRef>
              <c:f>Promocoes!$F$2:$F$7</c:f>
              <c:numCache>
                <c:formatCode>\R\$\ #,##0.00</c:formatCode>
                <c:ptCount val="6"/>
                <c:pt idx="0">
                  <c:v>9800</c:v>
                </c:pt>
                <c:pt idx="1">
                  <c:v>7100</c:v>
                </c:pt>
                <c:pt idx="2">
                  <c:v>4650</c:v>
                </c:pt>
                <c:pt idx="3">
                  <c:v>5100</c:v>
                </c:pt>
                <c:pt idx="4">
                  <c:v>8900</c:v>
                </c:pt>
                <c:pt idx="5">
                  <c:v>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B3-48AE-92CE-E51D47EA108D}"/>
            </c:ext>
          </c:extLst>
        </c:ser>
        <c:ser>
          <c:idx val="5"/>
          <c:order val="5"/>
          <c:tx>
            <c:v>ROI</c:v>
          </c:tx>
          <c:invertIfNegative val="1"/>
          <c:cat>
            <c:strRef>
              <c:f>Promocoes!$A$2:$A$7</c:f>
              <c:strCache>
                <c:ptCount val="6"/>
                <c:pt idx="0">
                  <c:v>Lousa Oferta do Dia</c:v>
                </c:pt>
                <c:pt idx="1">
                  <c:v>Cartão Fidelidade</c:v>
                </c:pt>
                <c:pt idx="2">
                  <c:v>Cupom de Retorno</c:v>
                </c:pt>
                <c:pt idx="3">
                  <c:v>Traga a Galera</c:v>
                </c:pt>
                <c:pt idx="4">
                  <c:v>Display de Combo</c:v>
                </c:pt>
                <c:pt idx="5">
                  <c:v>Posts/Stories locais</c:v>
                </c:pt>
              </c:strCache>
            </c:strRef>
          </c:cat>
          <c:val>
            <c:numRef>
              <c:f>Promocoes!$G$2:$G$7</c:f>
              <c:numCache>
                <c:formatCode>0.0%</c:formatCode>
                <c:ptCount val="6"/>
                <c:pt idx="0">
                  <c:v>80.666666666666671</c:v>
                </c:pt>
                <c:pt idx="1">
                  <c:v>38.444444444444443</c:v>
                </c:pt>
                <c:pt idx="2">
                  <c:v>32.214285714285715</c:v>
                </c:pt>
                <c:pt idx="3">
                  <c:v>19.399999999999999</c:v>
                </c:pt>
                <c:pt idx="4">
                  <c:v>97.888888888888886</c:v>
                </c:pt>
                <c:pt idx="5">
                  <c:v>15.285714285714286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B3-48AE-92CE-E51D47EA1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Volume por produto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Unidades</c:v>
          </c:tx>
          <c:invertIfNegative val="1"/>
          <c:cat>
            <c:strRef>
              <c:f>Produtos!$A$2:$A$6</c:f>
              <c:strCache>
                <c:ptCount val="5"/>
                <c:pt idx="0">
                  <c:v>X-Tudo</c:v>
                </c:pt>
                <c:pt idx="1">
                  <c:v>X-Salada</c:v>
                </c:pt>
                <c:pt idx="2">
                  <c:v>X-Burger</c:v>
                </c:pt>
                <c:pt idx="3">
                  <c:v>Fritas</c:v>
                </c:pt>
                <c:pt idx="4">
                  <c:v>Combos</c:v>
                </c:pt>
              </c:strCache>
            </c:strRef>
          </c:cat>
          <c:val>
            <c:numRef>
              <c:f>Produtos!$B$2:$B$6</c:f>
              <c:numCache>
                <c:formatCode>General</c:formatCode>
                <c:ptCount val="5"/>
                <c:pt idx="0">
                  <c:v>3803</c:v>
                </c:pt>
                <c:pt idx="1">
                  <c:v>3100</c:v>
                </c:pt>
                <c:pt idx="2">
                  <c:v>3330</c:v>
                </c:pt>
                <c:pt idx="3">
                  <c:v>4970</c:v>
                </c:pt>
                <c:pt idx="4">
                  <c:v>3882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2-4F74-8D17-1FADE8077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dosDiarios" displayName="DadosDiarios" ref="A1:S261" totalsRowShown="0">
  <tableColumns count="19">
    <tableColumn id="1" xr3:uid="{00000000-0010-0000-0000-000001000000}" name="Data"/>
    <tableColumn id="2" xr3:uid="{00000000-0010-0000-0000-000002000000}" name="Mês"/>
    <tableColumn id="3" xr3:uid="{00000000-0010-0000-0000-000003000000}" name="Dia"/>
    <tableColumn id="4" xr3:uid="{00000000-0010-0000-0000-000004000000}" name="Clientes"/>
    <tableColumn id="5" xr3:uid="{00000000-0010-0000-0000-000005000000}" name="Novos"/>
    <tableColumn id="6" xr3:uid="{00000000-0010-0000-0000-000006000000}" name="Recorrentes"/>
    <tableColumn id="7" xr3:uid="{00000000-0010-0000-0000-000007000000}" name="Pedidos"/>
    <tableColumn id="8" xr3:uid="{00000000-0010-0000-0000-000008000000}" name="Faturamento"/>
    <tableColumn id="9" xr3:uid="{00000000-0010-0000-0000-000009000000}" name="CMV"/>
    <tableColumn id="10" xr3:uid="{00000000-0010-0000-0000-00000A000000}" name="Custos Operacionais"/>
    <tableColumn id="11" xr3:uid="{00000000-0010-0000-0000-00000B000000}" name="Combos"/>
    <tableColumn id="12" xr3:uid="{00000000-0010-0000-0000-00000C000000}" name="X-Tudo"/>
    <tableColumn id="13" xr3:uid="{00000000-0010-0000-0000-00000D000000}" name="X-Salada"/>
    <tableColumn id="14" xr3:uid="{00000000-0010-0000-0000-00000E000000}" name="X-Burger"/>
    <tableColumn id="15" xr3:uid="{00000000-0010-0000-0000-00000F000000}" name="Fritas"/>
    <tableColumn id="16" xr3:uid="{00000000-0010-0000-0000-000010000000}" name="Cartões Fidelidade"/>
    <tableColumn id="17" xr3:uid="{00000000-0010-0000-0000-000011000000}" name="Cartões Completos"/>
    <tableColumn id="18" xr3:uid="{00000000-0010-0000-0000-000012000000}" name="Cupons Usados"/>
    <tableColumn id="19" xr3:uid="{00000000-0010-0000-0000-000013000000}" name="Vendas Promo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oMensal" displayName="ResumoMensal" ref="A1:P10" totalsRowShown="0">
  <tableColumns count="16">
    <tableColumn id="1" xr3:uid="{00000000-0010-0000-0100-000001000000}" name="Mês"/>
    <tableColumn id="2" xr3:uid="{00000000-0010-0000-0100-000002000000}" name="Clientes"/>
    <tableColumn id="3" xr3:uid="{00000000-0010-0000-0100-000003000000}" name="Novos"/>
    <tableColumn id="4" xr3:uid="{00000000-0010-0000-0100-000004000000}" name="Recorrentes"/>
    <tableColumn id="5" xr3:uid="{00000000-0010-0000-0100-000005000000}" name="Pedidos"/>
    <tableColumn id="6" xr3:uid="{00000000-0010-0000-0100-000006000000}" name="Faturamento"/>
    <tableColumn id="7" xr3:uid="{00000000-0010-0000-0100-000007000000}" name="CMV"/>
    <tableColumn id="8" xr3:uid="{00000000-0010-0000-0100-000008000000}" name="Custos Op."/>
    <tableColumn id="9" xr3:uid="{00000000-0010-0000-0100-000009000000}" name="Lucro Operacional"/>
    <tableColumn id="10" xr3:uid="{00000000-0010-0000-0100-00000A000000}" name="Ticket Médio"/>
    <tableColumn id="11" xr3:uid="{00000000-0010-0000-0100-00000B000000}" name="Taxa Recompra"/>
    <tableColumn id="12" xr3:uid="{00000000-0010-0000-0100-00000C000000}" name="Combos"/>
    <tableColumn id="13" xr3:uid="{00000000-0010-0000-0100-00000D000000}" name="Cartões"/>
    <tableColumn id="14" xr3:uid="{00000000-0010-0000-0100-00000E000000}" name="Completos"/>
    <tableColumn id="15" xr3:uid="{00000000-0010-0000-0100-00000F000000}" name="Cupons"/>
    <tableColumn id="16" xr3:uid="{00000000-0010-0000-0100-000010000000}" name="Vendas Promo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workbookViewId="0">
      <selection sqref="A1:N1"/>
    </sheetView>
  </sheetViews>
  <sheetFormatPr defaultRowHeight="14"/>
  <cols>
    <col min="1" max="6" width="15" customWidth="1"/>
  </cols>
  <sheetData>
    <row r="1" spans="1:14" ht="25.4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4.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>
      <c r="A3" s="10" t="s">
        <v>2</v>
      </c>
      <c r="B3" s="10" t="s">
        <v>3</v>
      </c>
    </row>
    <row r="5" spans="1:14" ht="20">
      <c r="A5" s="11" t="s">
        <v>4</v>
      </c>
      <c r="B5" s="12">
        <f>IF($B$3="Todos",SUM(Resumo_Mensal!$F$2:$F$10),SUMIF(Resumo_Mensal!$A$2:$A$10,$B$3,Resumo_Mensal!$F$2:$F$10))</f>
        <v>419060.69</v>
      </c>
      <c r="D5" s="11" t="s">
        <v>5</v>
      </c>
      <c r="E5" s="13">
        <f>IF($B$3="Todos",SUM(Resumo_Mensal!$B$2:$B$10),SUMIF(Resumo_Mensal!$A$2:$A$10,$B$3,Resumo_Mensal!$B$2:$B$10))</f>
        <v>14632</v>
      </c>
      <c r="G5" s="11" t="s">
        <v>6</v>
      </c>
      <c r="H5" s="14">
        <f>IFERROR(IF($B$3="Todos",SUM(Resumo_Mensal!$F$2:$F$10)/SUM(Resumo_Mensal!$E$2:$E$10),SUMIF(Resumo_Mensal!$A$2:$A$10,$B$3,Resumo_Mensal!$F$2:$F$10)/SUMIF(Resumo_Mensal!$A$2:$A$10,$B$3,Resumo_Mensal!$E$2:$E$10)),0)</f>
        <v>29.237472266796903</v>
      </c>
      <c r="J5" s="11" t="s">
        <v>7</v>
      </c>
      <c r="K5" s="15">
        <f>IFERROR(IF($B$3="Todos",SUM(Resumo_Mensal!$D$2:$D$10)/SUM(Resumo_Mensal!$B$2:$B$10),SUMIF(Resumo_Mensal!$A$2:$A$10,$B$3,Resumo_Mensal!$D$2:$D$10)/SUMIF(Resumo_Mensal!$A$2:$A$10,$B$3,Resumo_Mensal!$B$2:$B$10)),0)</f>
        <v>0.43685073810825586</v>
      </c>
    </row>
    <row r="8" spans="1:14" ht="20">
      <c r="A8" s="11" t="s">
        <v>8</v>
      </c>
      <c r="B8" s="12">
        <f>IF($B$3="Todos",SUM(Resumo_Mensal!$I$2:$I$10),SUMIF(Resumo_Mensal!$A$2:$A$10,$B$3,Resumo_Mensal!$I$2:$I$10))</f>
        <v>175964.91999999995</v>
      </c>
      <c r="D8" s="11" t="s">
        <v>9</v>
      </c>
      <c r="E8" s="13">
        <f>IF($B$3="Todos",SUM(Resumo_Mensal!$L$2:$L$10),SUMIF(Resumo_Mensal!$A$2:$A$10,$B$3,Resumo_Mensal!$L$2:$L$10))</f>
        <v>3882</v>
      </c>
      <c r="G8" s="11" t="s">
        <v>10</v>
      </c>
      <c r="H8" s="13">
        <f>IF($B$3="Todos",SUM(Resumo_Mensal!$M$2:$M$10),SUMIF(Resumo_Mensal!$A$2:$A$10,$B$3,Resumo_Mensal!$M$2:$M$10))</f>
        <v>1418</v>
      </c>
      <c r="J8" s="11" t="s">
        <v>11</v>
      </c>
      <c r="K8" s="13">
        <f>IF($B$3="Todos",SUM(Resumo_Mensal!$O$2:$O$10),SUMIF(Resumo_Mensal!$A$2:$A$10,$B$3,Resumo_Mensal!$O$2:$O$10))</f>
        <v>734</v>
      </c>
    </row>
    <row r="11" spans="1:14" ht="14.5">
      <c r="A11" s="18" t="s">
        <v>12</v>
      </c>
      <c r="B11" s="18"/>
      <c r="C11" s="18"/>
      <c r="D11" s="18"/>
      <c r="E11" s="18"/>
      <c r="F11" s="18"/>
    </row>
    <row r="13" spans="1:14">
      <c r="A13" s="3" t="s">
        <v>13</v>
      </c>
      <c r="B13" s="3" t="s">
        <v>4</v>
      </c>
      <c r="C13" s="3" t="s">
        <v>14</v>
      </c>
      <c r="D13" s="3" t="s">
        <v>5</v>
      </c>
      <c r="E13" s="3" t="s">
        <v>15</v>
      </c>
      <c r="F13" s="3" t="s">
        <v>16</v>
      </c>
    </row>
    <row r="14" spans="1:14">
      <c r="A14" t="s">
        <v>17</v>
      </c>
      <c r="B14" s="1">
        <f>Resumo_Mensal!F2</f>
        <v>52689.979999999996</v>
      </c>
      <c r="C14" s="1">
        <f>Resumo_Mensal!I2</f>
        <v>21832.519999999997</v>
      </c>
      <c r="D14">
        <f>Resumo_Mensal!B2</f>
        <v>1854</v>
      </c>
      <c r="E14">
        <f>Resumo_Mensal!L2</f>
        <v>509</v>
      </c>
      <c r="F14" s="2">
        <f>Resumo_Mensal!K2</f>
        <v>0.43689320388349512</v>
      </c>
    </row>
    <row r="15" spans="1:14">
      <c r="A15" t="s">
        <v>18</v>
      </c>
      <c r="B15" s="1">
        <f>Resumo_Mensal!F3</f>
        <v>47546.06</v>
      </c>
      <c r="C15" s="1">
        <f>Resumo_Mensal!I3</f>
        <v>19645.169999999998</v>
      </c>
      <c r="D15">
        <f>Resumo_Mensal!B3</f>
        <v>1654</v>
      </c>
      <c r="E15">
        <f>Resumo_Mensal!L3</f>
        <v>410</v>
      </c>
      <c r="F15" s="2">
        <f>Resumo_Mensal!K3</f>
        <v>0.4455864570737606</v>
      </c>
    </row>
    <row r="16" spans="1:14">
      <c r="A16" t="s">
        <v>19</v>
      </c>
      <c r="B16" s="1">
        <f>Resumo_Mensal!F4</f>
        <v>48871.960000000021</v>
      </c>
      <c r="C16" s="1">
        <f>Resumo_Mensal!I4</f>
        <v>20707.000000000025</v>
      </c>
      <c r="D16">
        <f>Resumo_Mensal!B4</f>
        <v>1704</v>
      </c>
      <c r="E16">
        <f>Resumo_Mensal!L4</f>
        <v>453</v>
      </c>
      <c r="F16" s="2">
        <f>Resumo_Mensal!K4</f>
        <v>0.4460093896713615</v>
      </c>
    </row>
    <row r="17" spans="1:6">
      <c r="A17" t="s">
        <v>20</v>
      </c>
      <c r="B17" s="1">
        <f>Resumo_Mensal!F5</f>
        <v>45522.269999999982</v>
      </c>
      <c r="C17" s="1">
        <f>Resumo_Mensal!I5</f>
        <v>19233.179999999986</v>
      </c>
      <c r="D17">
        <f>Resumo_Mensal!B5</f>
        <v>1580</v>
      </c>
      <c r="E17">
        <f>Resumo_Mensal!L5</f>
        <v>413</v>
      </c>
      <c r="F17" s="2">
        <f>Resumo_Mensal!K5</f>
        <v>0.44113924050632913</v>
      </c>
    </row>
    <row r="18" spans="1:6">
      <c r="A18" t="s">
        <v>21</v>
      </c>
      <c r="B18" s="1">
        <f>Resumo_Mensal!F6</f>
        <v>47730.739999999991</v>
      </c>
      <c r="C18" s="1">
        <f>Resumo_Mensal!I6</f>
        <v>20357.049999999988</v>
      </c>
      <c r="D18">
        <f>Resumo_Mensal!B6</f>
        <v>1668</v>
      </c>
      <c r="E18">
        <f>Resumo_Mensal!L6</f>
        <v>444</v>
      </c>
      <c r="F18" s="2">
        <f>Resumo_Mensal!K6</f>
        <v>0.43405275779376501</v>
      </c>
    </row>
    <row r="19" spans="1:6">
      <c r="A19" t="s">
        <v>22</v>
      </c>
      <c r="B19" s="1">
        <f>Resumo_Mensal!F7</f>
        <v>49042.79</v>
      </c>
      <c r="C19" s="1">
        <f>Resumo_Mensal!I7</f>
        <v>20727.840000000004</v>
      </c>
      <c r="D19">
        <f>Resumo_Mensal!B7</f>
        <v>1703</v>
      </c>
      <c r="E19">
        <f>Resumo_Mensal!L7</f>
        <v>446</v>
      </c>
      <c r="F19" s="2">
        <f>Resumo_Mensal!K7</f>
        <v>0.44509688784497947</v>
      </c>
    </row>
    <row r="20" spans="1:6">
      <c r="A20" t="s">
        <v>23</v>
      </c>
      <c r="B20" s="1">
        <f>Resumo_Mensal!F8</f>
        <v>52913.599999999991</v>
      </c>
      <c r="C20" s="1">
        <f>Resumo_Mensal!I8</f>
        <v>22244.909999999982</v>
      </c>
      <c r="D20">
        <f>Resumo_Mensal!B8</f>
        <v>1876</v>
      </c>
      <c r="E20">
        <f>Resumo_Mensal!L8</f>
        <v>503</v>
      </c>
      <c r="F20" s="2">
        <f>Resumo_Mensal!K8</f>
        <v>0.42963752665245203</v>
      </c>
    </row>
    <row r="21" spans="1:6">
      <c r="A21" t="s">
        <v>24</v>
      </c>
      <c r="B21" s="1">
        <f>Resumo_Mensal!F9</f>
        <v>50519.69999999999</v>
      </c>
      <c r="C21" s="1">
        <f>Resumo_Mensal!I9</f>
        <v>20977.159999999989</v>
      </c>
      <c r="D21">
        <f>Resumo_Mensal!B9</f>
        <v>1757</v>
      </c>
      <c r="E21">
        <f>Resumo_Mensal!L9</f>
        <v>474</v>
      </c>
      <c r="F21" s="2">
        <f>Resumo_Mensal!K9</f>
        <v>0.42401821286283436</v>
      </c>
    </row>
    <row r="22" spans="1:6">
      <c r="A22" t="s">
        <v>25</v>
      </c>
      <c r="B22" s="1">
        <f>Resumo_Mensal!F10</f>
        <v>24223.59</v>
      </c>
      <c r="C22" s="1">
        <f>Resumo_Mensal!I10</f>
        <v>10240.09</v>
      </c>
      <c r="D22">
        <f>Resumo_Mensal!B10</f>
        <v>836</v>
      </c>
      <c r="E22">
        <f>Resumo_Mensal!L10</f>
        <v>230</v>
      </c>
      <c r="F22" s="2">
        <f>Resumo_Mensal!K10</f>
        <v>0.42464114832535887</v>
      </c>
    </row>
    <row r="25" spans="1:6">
      <c r="A25" s="3" t="s">
        <v>13</v>
      </c>
      <c r="B25" s="3" t="s">
        <v>5</v>
      </c>
      <c r="C25" s="3" t="s">
        <v>15</v>
      </c>
    </row>
    <row r="26" spans="1:6">
      <c r="A26" t="s">
        <v>17</v>
      </c>
      <c r="B26">
        <f>Resumo_Mensal!B2</f>
        <v>1854</v>
      </c>
      <c r="C26">
        <f>Resumo_Mensal!L2</f>
        <v>509</v>
      </c>
    </row>
    <row r="27" spans="1:6">
      <c r="A27" t="s">
        <v>18</v>
      </c>
      <c r="B27">
        <f>Resumo_Mensal!B3</f>
        <v>1654</v>
      </c>
      <c r="C27">
        <f>Resumo_Mensal!L3</f>
        <v>410</v>
      </c>
    </row>
    <row r="28" spans="1:6">
      <c r="A28" t="s">
        <v>19</v>
      </c>
      <c r="B28">
        <f>Resumo_Mensal!B4</f>
        <v>1704</v>
      </c>
      <c r="C28">
        <f>Resumo_Mensal!L4</f>
        <v>453</v>
      </c>
    </row>
    <row r="29" spans="1:6">
      <c r="A29" t="s">
        <v>20</v>
      </c>
      <c r="B29">
        <f>Resumo_Mensal!B5</f>
        <v>1580</v>
      </c>
      <c r="C29">
        <f>Resumo_Mensal!L5</f>
        <v>413</v>
      </c>
    </row>
    <row r="30" spans="1:6">
      <c r="A30" t="s">
        <v>21</v>
      </c>
      <c r="B30">
        <f>Resumo_Mensal!B6</f>
        <v>1668</v>
      </c>
      <c r="C30">
        <f>Resumo_Mensal!L6</f>
        <v>444</v>
      </c>
    </row>
    <row r="31" spans="1:6">
      <c r="A31" t="s">
        <v>22</v>
      </c>
      <c r="B31">
        <f>Resumo_Mensal!B7</f>
        <v>1703</v>
      </c>
      <c r="C31">
        <f>Resumo_Mensal!L7</f>
        <v>446</v>
      </c>
    </row>
    <row r="32" spans="1:6">
      <c r="A32" t="s">
        <v>23</v>
      </c>
      <c r="B32">
        <f>Resumo_Mensal!B8</f>
        <v>1876</v>
      </c>
      <c r="C32">
        <f>Resumo_Mensal!L8</f>
        <v>503</v>
      </c>
    </row>
    <row r="33" spans="1:3">
      <c r="A33" t="s">
        <v>24</v>
      </c>
      <c r="B33">
        <f>Resumo_Mensal!B9</f>
        <v>1757</v>
      </c>
      <c r="C33">
        <f>Resumo_Mensal!L9</f>
        <v>474</v>
      </c>
    </row>
    <row r="34" spans="1:3">
      <c r="A34" t="s">
        <v>25</v>
      </c>
      <c r="B34">
        <f>Resumo_Mensal!B10</f>
        <v>836</v>
      </c>
      <c r="C34">
        <f>Resumo_Mensal!L10</f>
        <v>230</v>
      </c>
    </row>
  </sheetData>
  <mergeCells count="3">
    <mergeCell ref="A1:N1"/>
    <mergeCell ref="A2:N2"/>
    <mergeCell ref="A11:F1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Parametros!$D$2:$D$11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1"/>
  <sheetViews>
    <sheetView workbookViewId="0"/>
  </sheetViews>
  <sheetFormatPr defaultRowHeight="14"/>
  <cols>
    <col min="1" max="1" width="9.75" bestFit="1" customWidth="1"/>
    <col min="2" max="2" width="6.4140625" customWidth="1"/>
    <col min="3" max="3" width="5.6640625" customWidth="1"/>
    <col min="4" max="4" width="9.1640625" customWidth="1"/>
    <col min="5" max="5" width="7.9140625" customWidth="1"/>
    <col min="6" max="6" width="12.1640625" customWidth="1"/>
    <col min="7" max="7" width="9" customWidth="1"/>
    <col min="8" max="8" width="12.9140625" customWidth="1"/>
    <col min="9" max="9" width="6.75" customWidth="1"/>
    <col min="10" max="10" width="18.4140625" customWidth="1"/>
    <col min="11" max="11" width="9.25" customWidth="1"/>
    <col min="12" max="12" width="8.25" customWidth="1"/>
    <col min="13" max="14" width="9.6640625" customWidth="1"/>
    <col min="15" max="15" width="7.25" customWidth="1"/>
    <col min="16" max="16" width="17.1640625" customWidth="1"/>
    <col min="17" max="17" width="17.4140625" customWidth="1"/>
    <col min="18" max="18" width="14.6640625" customWidth="1"/>
    <col min="19" max="19" width="16.75" customWidth="1"/>
  </cols>
  <sheetData>
    <row r="1" spans="1:26" ht="28">
      <c r="A1" s="5" t="s">
        <v>26</v>
      </c>
      <c r="B1" s="5" t="s">
        <v>13</v>
      </c>
      <c r="C1" s="5" t="s">
        <v>27</v>
      </c>
      <c r="D1" s="5" t="s">
        <v>5</v>
      </c>
      <c r="E1" s="5" t="s">
        <v>28</v>
      </c>
      <c r="F1" s="5" t="s">
        <v>29</v>
      </c>
      <c r="G1" s="5" t="s">
        <v>30</v>
      </c>
      <c r="H1" s="5" t="s">
        <v>4</v>
      </c>
      <c r="I1" s="5" t="s">
        <v>31</v>
      </c>
      <c r="J1" s="5" t="s">
        <v>32</v>
      </c>
      <c r="K1" s="5" t="s">
        <v>15</v>
      </c>
      <c r="L1" s="5" t="s">
        <v>33</v>
      </c>
      <c r="M1" s="5" t="s">
        <v>34</v>
      </c>
      <c r="N1" s="5" t="s">
        <v>35</v>
      </c>
      <c r="O1" s="5" t="s">
        <v>36</v>
      </c>
      <c r="P1" s="5" t="s">
        <v>10</v>
      </c>
      <c r="Q1" s="5" t="s">
        <v>37</v>
      </c>
      <c r="R1" s="5" t="s">
        <v>38</v>
      </c>
      <c r="S1" s="5" t="s">
        <v>39</v>
      </c>
      <c r="T1" s="4"/>
      <c r="U1" s="4"/>
      <c r="V1" s="4"/>
      <c r="W1" s="4"/>
      <c r="X1" s="4"/>
      <c r="Y1" s="4"/>
      <c r="Z1" s="4"/>
    </row>
    <row r="2" spans="1:26">
      <c r="A2" s="6">
        <v>46023</v>
      </c>
      <c r="B2" s="7" t="s">
        <v>17</v>
      </c>
      <c r="C2" s="7" t="s">
        <v>40</v>
      </c>
      <c r="D2" s="7">
        <v>49</v>
      </c>
      <c r="E2" s="7">
        <v>29</v>
      </c>
      <c r="F2" s="7">
        <v>20</v>
      </c>
      <c r="G2" s="7">
        <v>47</v>
      </c>
      <c r="H2" s="8">
        <v>1406.18</v>
      </c>
      <c r="I2" s="8">
        <v>490.52</v>
      </c>
      <c r="J2" s="8">
        <v>370.57</v>
      </c>
      <c r="K2" s="7">
        <v>10</v>
      </c>
      <c r="L2" s="7">
        <v>12</v>
      </c>
      <c r="M2" s="7">
        <v>9</v>
      </c>
      <c r="N2" s="7">
        <v>10</v>
      </c>
      <c r="O2" s="7">
        <v>16</v>
      </c>
      <c r="P2" s="7">
        <v>3</v>
      </c>
      <c r="Q2" s="7">
        <v>0</v>
      </c>
      <c r="R2" s="7">
        <v>2</v>
      </c>
      <c r="S2" s="7">
        <v>8</v>
      </c>
    </row>
    <row r="3" spans="1:26">
      <c r="A3" s="6">
        <v>46024</v>
      </c>
      <c r="B3" s="7" t="s">
        <v>17</v>
      </c>
      <c r="C3" s="7" t="s">
        <v>41</v>
      </c>
      <c r="D3" s="7">
        <v>69</v>
      </c>
      <c r="E3" s="7">
        <v>42</v>
      </c>
      <c r="F3" s="7">
        <v>27</v>
      </c>
      <c r="G3" s="7">
        <v>68</v>
      </c>
      <c r="H3" s="8">
        <v>2200.25</v>
      </c>
      <c r="I3" s="8">
        <v>693.79</v>
      </c>
      <c r="J3" s="8">
        <v>568.42999999999995</v>
      </c>
      <c r="K3" s="7">
        <v>20</v>
      </c>
      <c r="L3" s="7">
        <v>17</v>
      </c>
      <c r="M3" s="7">
        <v>13</v>
      </c>
      <c r="N3" s="7">
        <v>18</v>
      </c>
      <c r="O3" s="7">
        <v>22</v>
      </c>
      <c r="P3" s="7">
        <v>5</v>
      </c>
      <c r="Q3" s="7">
        <v>1</v>
      </c>
      <c r="R3" s="7">
        <v>2</v>
      </c>
      <c r="S3" s="7">
        <v>14</v>
      </c>
    </row>
    <row r="4" spans="1:26">
      <c r="A4" s="6">
        <v>46025</v>
      </c>
      <c r="B4" s="7" t="s">
        <v>17</v>
      </c>
      <c r="C4" s="7" t="s">
        <v>42</v>
      </c>
      <c r="D4" s="7">
        <v>99</v>
      </c>
      <c r="E4" s="7">
        <v>55</v>
      </c>
      <c r="F4" s="7">
        <v>44</v>
      </c>
      <c r="G4" s="7">
        <v>102</v>
      </c>
      <c r="H4" s="8">
        <v>3036.66</v>
      </c>
      <c r="I4" s="8">
        <v>1040.3699999999999</v>
      </c>
      <c r="J4" s="8">
        <v>788.82</v>
      </c>
      <c r="K4" s="7">
        <v>29</v>
      </c>
      <c r="L4" s="7">
        <v>30</v>
      </c>
      <c r="M4" s="7">
        <v>22</v>
      </c>
      <c r="N4" s="7">
        <v>25</v>
      </c>
      <c r="O4" s="7">
        <v>29</v>
      </c>
      <c r="P4" s="7">
        <v>8</v>
      </c>
      <c r="Q4" s="7">
        <v>1</v>
      </c>
      <c r="R4" s="7">
        <v>4</v>
      </c>
      <c r="S4" s="7">
        <v>11</v>
      </c>
    </row>
    <row r="5" spans="1:26">
      <c r="A5" s="6">
        <v>46026</v>
      </c>
      <c r="B5" s="7" t="s">
        <v>17</v>
      </c>
      <c r="C5" s="7" t="s">
        <v>43</v>
      </c>
      <c r="D5" s="7">
        <v>51</v>
      </c>
      <c r="E5" s="7">
        <v>32</v>
      </c>
      <c r="F5" s="7">
        <v>19</v>
      </c>
      <c r="G5" s="7">
        <v>49</v>
      </c>
      <c r="H5" s="8">
        <v>1436.39</v>
      </c>
      <c r="I5" s="8">
        <v>478.66</v>
      </c>
      <c r="J5" s="8">
        <v>333.55</v>
      </c>
      <c r="K5" s="7">
        <v>11</v>
      </c>
      <c r="L5" s="7">
        <v>12</v>
      </c>
      <c r="M5" s="7">
        <v>12</v>
      </c>
      <c r="N5" s="7">
        <v>12</v>
      </c>
      <c r="O5" s="7">
        <v>18</v>
      </c>
      <c r="P5" s="7">
        <v>4</v>
      </c>
      <c r="Q5" s="7">
        <v>0</v>
      </c>
      <c r="R5" s="7">
        <v>3</v>
      </c>
      <c r="S5" s="7">
        <v>6</v>
      </c>
    </row>
    <row r="6" spans="1:26">
      <c r="A6" s="6">
        <v>46027</v>
      </c>
      <c r="B6" s="7" t="s">
        <v>17</v>
      </c>
      <c r="C6" s="7" t="s">
        <v>44</v>
      </c>
      <c r="D6" s="7">
        <v>41</v>
      </c>
      <c r="E6" s="7">
        <v>23</v>
      </c>
      <c r="F6" s="7">
        <v>18</v>
      </c>
      <c r="G6" s="7">
        <v>41</v>
      </c>
      <c r="H6" s="8">
        <v>1252.8399999999999</v>
      </c>
      <c r="I6" s="8">
        <v>443.25</v>
      </c>
      <c r="J6" s="8">
        <v>280.31</v>
      </c>
      <c r="K6" s="7">
        <v>8</v>
      </c>
      <c r="L6" s="7">
        <v>10</v>
      </c>
      <c r="M6" s="7">
        <v>8</v>
      </c>
      <c r="N6" s="7">
        <v>8</v>
      </c>
      <c r="O6" s="7">
        <v>17</v>
      </c>
      <c r="P6" s="7">
        <v>5</v>
      </c>
      <c r="Q6" s="7">
        <v>1</v>
      </c>
      <c r="R6" s="7">
        <v>2</v>
      </c>
      <c r="S6" s="7">
        <v>7</v>
      </c>
    </row>
    <row r="7" spans="1:26">
      <c r="A7" s="6">
        <v>46028</v>
      </c>
      <c r="B7" s="7" t="s">
        <v>17</v>
      </c>
      <c r="C7" s="7" t="s">
        <v>45</v>
      </c>
      <c r="D7" s="7">
        <v>42</v>
      </c>
      <c r="E7" s="7">
        <v>21</v>
      </c>
      <c r="F7" s="7">
        <v>21</v>
      </c>
      <c r="G7" s="7">
        <v>41</v>
      </c>
      <c r="H7" s="8">
        <v>1110.6600000000001</v>
      </c>
      <c r="I7" s="8">
        <v>363.55</v>
      </c>
      <c r="J7" s="8">
        <v>270.64999999999998</v>
      </c>
      <c r="K7" s="7">
        <v>10</v>
      </c>
      <c r="L7" s="7">
        <v>11</v>
      </c>
      <c r="M7" s="7">
        <v>10</v>
      </c>
      <c r="N7" s="7">
        <v>9</v>
      </c>
      <c r="O7" s="7">
        <v>13</v>
      </c>
      <c r="P7" s="7">
        <v>5</v>
      </c>
      <c r="Q7" s="7">
        <v>0</v>
      </c>
      <c r="R7" s="7">
        <v>2</v>
      </c>
      <c r="S7" s="7">
        <v>5</v>
      </c>
    </row>
    <row r="8" spans="1:26">
      <c r="A8" s="6">
        <v>46029</v>
      </c>
      <c r="B8" s="7" t="s">
        <v>17</v>
      </c>
      <c r="C8" s="7" t="s">
        <v>46</v>
      </c>
      <c r="D8" s="7">
        <v>51</v>
      </c>
      <c r="E8" s="7">
        <v>26</v>
      </c>
      <c r="F8" s="7">
        <v>25</v>
      </c>
      <c r="G8" s="7">
        <v>50</v>
      </c>
      <c r="H8" s="8">
        <v>1294.06</v>
      </c>
      <c r="I8" s="8">
        <v>432.32</v>
      </c>
      <c r="J8" s="8">
        <v>349.1</v>
      </c>
      <c r="K8" s="7">
        <v>14</v>
      </c>
      <c r="L8" s="7">
        <v>15</v>
      </c>
      <c r="M8" s="7">
        <v>12</v>
      </c>
      <c r="N8" s="7">
        <v>10</v>
      </c>
      <c r="O8" s="7">
        <v>19</v>
      </c>
      <c r="P8" s="7">
        <v>5</v>
      </c>
      <c r="Q8" s="7">
        <v>1</v>
      </c>
      <c r="R8" s="7">
        <v>3</v>
      </c>
      <c r="S8" s="7">
        <v>7</v>
      </c>
    </row>
    <row r="9" spans="1:26">
      <c r="A9" s="6">
        <v>46030</v>
      </c>
      <c r="B9" s="7" t="s">
        <v>17</v>
      </c>
      <c r="C9" s="7" t="s">
        <v>40</v>
      </c>
      <c r="D9" s="7">
        <v>56</v>
      </c>
      <c r="E9" s="7">
        <v>35</v>
      </c>
      <c r="F9" s="7">
        <v>21</v>
      </c>
      <c r="G9" s="7">
        <v>55</v>
      </c>
      <c r="H9" s="8">
        <v>1552.23</v>
      </c>
      <c r="I9" s="8">
        <v>562.98</v>
      </c>
      <c r="J9" s="8">
        <v>407.54</v>
      </c>
      <c r="K9" s="7">
        <v>13</v>
      </c>
      <c r="L9" s="7">
        <v>15</v>
      </c>
      <c r="M9" s="7">
        <v>11</v>
      </c>
      <c r="N9" s="7">
        <v>14</v>
      </c>
      <c r="O9" s="7">
        <v>22</v>
      </c>
      <c r="P9" s="7">
        <v>5</v>
      </c>
      <c r="Q9" s="7">
        <v>0</v>
      </c>
      <c r="R9" s="7">
        <v>3</v>
      </c>
      <c r="S9" s="7">
        <v>10</v>
      </c>
    </row>
    <row r="10" spans="1:26">
      <c r="A10" s="6">
        <v>46031</v>
      </c>
      <c r="B10" s="7" t="s">
        <v>17</v>
      </c>
      <c r="C10" s="7" t="s">
        <v>41</v>
      </c>
      <c r="D10" s="7">
        <v>72</v>
      </c>
      <c r="E10" s="7">
        <v>37</v>
      </c>
      <c r="F10" s="7">
        <v>35</v>
      </c>
      <c r="G10" s="7">
        <v>71</v>
      </c>
      <c r="H10" s="8">
        <v>1952.74</v>
      </c>
      <c r="I10" s="8">
        <v>646.76</v>
      </c>
      <c r="J10" s="8">
        <v>412.36</v>
      </c>
      <c r="K10" s="7">
        <v>23</v>
      </c>
      <c r="L10" s="7">
        <v>21</v>
      </c>
      <c r="M10" s="7">
        <v>17</v>
      </c>
      <c r="N10" s="7">
        <v>15</v>
      </c>
      <c r="O10" s="7">
        <v>20</v>
      </c>
      <c r="P10" s="7">
        <v>9</v>
      </c>
      <c r="Q10" s="7">
        <v>1</v>
      </c>
      <c r="R10" s="7">
        <v>5</v>
      </c>
      <c r="S10" s="7">
        <v>8</v>
      </c>
    </row>
    <row r="11" spans="1:26">
      <c r="A11" s="6">
        <v>46032</v>
      </c>
      <c r="B11" s="7" t="s">
        <v>17</v>
      </c>
      <c r="C11" s="7" t="s">
        <v>42</v>
      </c>
      <c r="D11" s="7">
        <v>80</v>
      </c>
      <c r="E11" s="7">
        <v>50</v>
      </c>
      <c r="F11" s="7">
        <v>30</v>
      </c>
      <c r="G11" s="7">
        <v>80</v>
      </c>
      <c r="H11" s="8">
        <v>2567.6</v>
      </c>
      <c r="I11" s="8">
        <v>825.28</v>
      </c>
      <c r="J11" s="8">
        <v>612.41999999999996</v>
      </c>
      <c r="K11" s="7">
        <v>22</v>
      </c>
      <c r="L11" s="7">
        <v>20</v>
      </c>
      <c r="M11" s="7">
        <v>19</v>
      </c>
      <c r="N11" s="7">
        <v>18</v>
      </c>
      <c r="O11" s="7">
        <v>25</v>
      </c>
      <c r="P11" s="7">
        <v>8</v>
      </c>
      <c r="Q11" s="7">
        <v>1</v>
      </c>
      <c r="R11" s="7">
        <v>5</v>
      </c>
      <c r="S11" s="7">
        <v>10</v>
      </c>
    </row>
    <row r="12" spans="1:26">
      <c r="A12" s="6">
        <v>46033</v>
      </c>
      <c r="B12" s="7" t="s">
        <v>17</v>
      </c>
      <c r="C12" s="7" t="s">
        <v>43</v>
      </c>
      <c r="D12" s="7">
        <v>74</v>
      </c>
      <c r="E12" s="7">
        <v>42</v>
      </c>
      <c r="F12" s="7">
        <v>32</v>
      </c>
      <c r="G12" s="7">
        <v>73</v>
      </c>
      <c r="H12" s="8">
        <v>1914.5</v>
      </c>
      <c r="I12" s="8">
        <v>624.58000000000004</v>
      </c>
      <c r="J12" s="8">
        <v>440.88</v>
      </c>
      <c r="K12" s="7">
        <v>21</v>
      </c>
      <c r="L12" s="7">
        <v>18</v>
      </c>
      <c r="M12" s="7">
        <v>14</v>
      </c>
      <c r="N12" s="7">
        <v>14</v>
      </c>
      <c r="O12" s="7">
        <v>27</v>
      </c>
      <c r="P12" s="7">
        <v>6</v>
      </c>
      <c r="Q12" s="7">
        <v>0</v>
      </c>
      <c r="R12" s="7">
        <v>5</v>
      </c>
      <c r="S12" s="7">
        <v>15</v>
      </c>
    </row>
    <row r="13" spans="1:26">
      <c r="A13" s="6">
        <v>46034</v>
      </c>
      <c r="B13" s="7" t="s">
        <v>17</v>
      </c>
      <c r="C13" s="7" t="s">
        <v>44</v>
      </c>
      <c r="D13" s="7">
        <v>36</v>
      </c>
      <c r="E13" s="7">
        <v>22</v>
      </c>
      <c r="F13" s="7">
        <v>14</v>
      </c>
      <c r="G13" s="7">
        <v>36</v>
      </c>
      <c r="H13" s="8">
        <v>964.28</v>
      </c>
      <c r="I13" s="8">
        <v>310.13</v>
      </c>
      <c r="J13" s="8">
        <v>256.62</v>
      </c>
      <c r="K13" s="7">
        <v>10</v>
      </c>
      <c r="L13" s="7">
        <v>9</v>
      </c>
      <c r="M13" s="7">
        <v>8</v>
      </c>
      <c r="N13" s="7">
        <v>9</v>
      </c>
      <c r="O13" s="7">
        <v>11</v>
      </c>
      <c r="P13" s="7">
        <v>2</v>
      </c>
      <c r="Q13" s="7">
        <v>0</v>
      </c>
      <c r="R13" s="7">
        <v>2</v>
      </c>
      <c r="S13" s="7">
        <v>5</v>
      </c>
    </row>
    <row r="14" spans="1:26">
      <c r="A14" s="6">
        <v>46035</v>
      </c>
      <c r="B14" s="7" t="s">
        <v>17</v>
      </c>
      <c r="C14" s="7" t="s">
        <v>45</v>
      </c>
      <c r="D14" s="7">
        <v>42</v>
      </c>
      <c r="E14" s="7">
        <v>20</v>
      </c>
      <c r="F14" s="7">
        <v>22</v>
      </c>
      <c r="G14" s="7">
        <v>39</v>
      </c>
      <c r="H14" s="8">
        <v>1088.71</v>
      </c>
      <c r="I14" s="8">
        <v>361.41</v>
      </c>
      <c r="J14" s="8">
        <v>284.92</v>
      </c>
      <c r="K14" s="7">
        <v>9</v>
      </c>
      <c r="L14" s="7">
        <v>9</v>
      </c>
      <c r="M14" s="7">
        <v>8</v>
      </c>
      <c r="N14" s="7">
        <v>9</v>
      </c>
      <c r="O14" s="7">
        <v>12</v>
      </c>
      <c r="P14" s="7">
        <v>3</v>
      </c>
      <c r="Q14" s="7">
        <v>0</v>
      </c>
      <c r="R14" s="7">
        <v>3</v>
      </c>
      <c r="S14" s="7">
        <v>6</v>
      </c>
    </row>
    <row r="15" spans="1:26">
      <c r="A15" s="6">
        <v>46036</v>
      </c>
      <c r="B15" s="7" t="s">
        <v>17</v>
      </c>
      <c r="C15" s="7" t="s">
        <v>46</v>
      </c>
      <c r="D15" s="7">
        <v>38</v>
      </c>
      <c r="E15" s="7">
        <v>21</v>
      </c>
      <c r="F15" s="7">
        <v>17</v>
      </c>
      <c r="G15" s="7">
        <v>36</v>
      </c>
      <c r="H15" s="8">
        <v>1133.8499999999999</v>
      </c>
      <c r="I15" s="8">
        <v>404.56</v>
      </c>
      <c r="J15" s="8">
        <v>304.02999999999997</v>
      </c>
      <c r="K15" s="7">
        <v>12</v>
      </c>
      <c r="L15" s="7">
        <v>11</v>
      </c>
      <c r="M15" s="7">
        <v>7</v>
      </c>
      <c r="N15" s="7">
        <v>8</v>
      </c>
      <c r="O15" s="7">
        <v>11</v>
      </c>
      <c r="P15" s="7">
        <v>3</v>
      </c>
      <c r="Q15" s="7">
        <v>0</v>
      </c>
      <c r="R15" s="7">
        <v>1</v>
      </c>
      <c r="S15" s="7">
        <v>5</v>
      </c>
    </row>
    <row r="16" spans="1:26">
      <c r="A16" s="6">
        <v>46037</v>
      </c>
      <c r="B16" s="7" t="s">
        <v>17</v>
      </c>
      <c r="C16" s="7" t="s">
        <v>40</v>
      </c>
      <c r="D16" s="7">
        <v>50</v>
      </c>
      <c r="E16" s="7">
        <v>28</v>
      </c>
      <c r="F16" s="7">
        <v>22</v>
      </c>
      <c r="G16" s="7">
        <v>49</v>
      </c>
      <c r="H16" s="8">
        <v>1530.95</v>
      </c>
      <c r="I16" s="8">
        <v>558.45000000000005</v>
      </c>
      <c r="J16" s="8">
        <v>372.55</v>
      </c>
      <c r="K16" s="7">
        <v>15</v>
      </c>
      <c r="L16" s="7">
        <v>11</v>
      </c>
      <c r="M16" s="7">
        <v>10</v>
      </c>
      <c r="N16" s="7">
        <v>13</v>
      </c>
      <c r="O16" s="7">
        <v>18</v>
      </c>
      <c r="P16" s="7">
        <v>5</v>
      </c>
      <c r="Q16" s="7">
        <v>1</v>
      </c>
      <c r="R16" s="7">
        <v>3</v>
      </c>
      <c r="S16" s="7">
        <v>5</v>
      </c>
    </row>
    <row r="17" spans="1:19">
      <c r="A17" s="6">
        <v>46038</v>
      </c>
      <c r="B17" s="7" t="s">
        <v>17</v>
      </c>
      <c r="C17" s="7" t="s">
        <v>41</v>
      </c>
      <c r="D17" s="7">
        <v>87</v>
      </c>
      <c r="E17" s="7">
        <v>49</v>
      </c>
      <c r="F17" s="7">
        <v>38</v>
      </c>
      <c r="G17" s="7">
        <v>88</v>
      </c>
      <c r="H17" s="8">
        <v>2503.12</v>
      </c>
      <c r="I17" s="8">
        <v>908.73</v>
      </c>
      <c r="J17" s="8">
        <v>537.69000000000005</v>
      </c>
      <c r="K17" s="7">
        <v>20</v>
      </c>
      <c r="L17" s="7">
        <v>24</v>
      </c>
      <c r="M17" s="7">
        <v>20</v>
      </c>
      <c r="N17" s="7">
        <v>18</v>
      </c>
      <c r="O17" s="7">
        <v>26</v>
      </c>
      <c r="P17" s="7">
        <v>11</v>
      </c>
      <c r="Q17" s="7">
        <v>1</v>
      </c>
      <c r="R17" s="7">
        <v>3</v>
      </c>
      <c r="S17" s="7">
        <v>15</v>
      </c>
    </row>
    <row r="18" spans="1:19">
      <c r="A18" s="6">
        <v>46039</v>
      </c>
      <c r="B18" s="7" t="s">
        <v>17</v>
      </c>
      <c r="C18" s="7" t="s">
        <v>42</v>
      </c>
      <c r="D18" s="7">
        <v>82</v>
      </c>
      <c r="E18" s="7">
        <v>46</v>
      </c>
      <c r="F18" s="7">
        <v>36</v>
      </c>
      <c r="G18" s="7">
        <v>84</v>
      </c>
      <c r="H18" s="8">
        <v>2412.9499999999998</v>
      </c>
      <c r="I18" s="8">
        <v>846.49</v>
      </c>
      <c r="J18" s="8">
        <v>541.28</v>
      </c>
      <c r="K18" s="7">
        <v>21</v>
      </c>
      <c r="L18" s="7">
        <v>24</v>
      </c>
      <c r="M18" s="7">
        <v>17</v>
      </c>
      <c r="N18" s="7">
        <v>18</v>
      </c>
      <c r="O18" s="7">
        <v>32</v>
      </c>
      <c r="P18" s="7">
        <v>5</v>
      </c>
      <c r="Q18" s="7">
        <v>1</v>
      </c>
      <c r="R18" s="7">
        <v>4</v>
      </c>
      <c r="S18" s="7">
        <v>18</v>
      </c>
    </row>
    <row r="19" spans="1:19">
      <c r="A19" s="6">
        <v>46040</v>
      </c>
      <c r="B19" s="7" t="s">
        <v>17</v>
      </c>
      <c r="C19" s="7" t="s">
        <v>43</v>
      </c>
      <c r="D19" s="7">
        <v>69</v>
      </c>
      <c r="E19" s="7">
        <v>43</v>
      </c>
      <c r="F19" s="7">
        <v>26</v>
      </c>
      <c r="G19" s="7">
        <v>66</v>
      </c>
      <c r="H19" s="8">
        <v>1788.02</v>
      </c>
      <c r="I19" s="8">
        <v>646.66</v>
      </c>
      <c r="J19" s="8">
        <v>469.98</v>
      </c>
      <c r="K19" s="7">
        <v>21</v>
      </c>
      <c r="L19" s="7">
        <v>17</v>
      </c>
      <c r="M19" s="7">
        <v>13</v>
      </c>
      <c r="N19" s="7">
        <v>17</v>
      </c>
      <c r="O19" s="7">
        <v>25</v>
      </c>
      <c r="P19" s="7">
        <v>7</v>
      </c>
      <c r="Q19" s="7">
        <v>0</v>
      </c>
      <c r="R19" s="7">
        <v>5</v>
      </c>
      <c r="S19" s="7">
        <v>12</v>
      </c>
    </row>
    <row r="20" spans="1:19">
      <c r="A20" s="6">
        <v>46041</v>
      </c>
      <c r="B20" s="7" t="s">
        <v>17</v>
      </c>
      <c r="C20" s="7" t="s">
        <v>44</v>
      </c>
      <c r="D20" s="7">
        <v>38</v>
      </c>
      <c r="E20" s="7">
        <v>20</v>
      </c>
      <c r="F20" s="7">
        <v>18</v>
      </c>
      <c r="G20" s="7">
        <v>39</v>
      </c>
      <c r="H20" s="8">
        <v>1025.92</v>
      </c>
      <c r="I20" s="8">
        <v>329.09</v>
      </c>
      <c r="J20" s="8">
        <v>222.03</v>
      </c>
      <c r="K20" s="7">
        <v>11</v>
      </c>
      <c r="L20" s="7">
        <v>10</v>
      </c>
      <c r="M20" s="7">
        <v>9</v>
      </c>
      <c r="N20" s="7">
        <v>10</v>
      </c>
      <c r="O20" s="7">
        <v>12</v>
      </c>
      <c r="P20" s="7">
        <v>4</v>
      </c>
      <c r="Q20" s="7">
        <v>1</v>
      </c>
      <c r="R20" s="7">
        <v>1</v>
      </c>
      <c r="S20" s="7">
        <v>6</v>
      </c>
    </row>
    <row r="21" spans="1:19">
      <c r="A21" s="6">
        <v>46042</v>
      </c>
      <c r="B21" s="7" t="s">
        <v>17</v>
      </c>
      <c r="C21" s="7" t="s">
        <v>45</v>
      </c>
      <c r="D21" s="7">
        <v>40</v>
      </c>
      <c r="E21" s="7">
        <v>20</v>
      </c>
      <c r="F21" s="7">
        <v>20</v>
      </c>
      <c r="G21" s="7">
        <v>38</v>
      </c>
      <c r="H21" s="8">
        <v>1065.58</v>
      </c>
      <c r="I21" s="8">
        <v>350.4</v>
      </c>
      <c r="J21" s="8">
        <v>224</v>
      </c>
      <c r="K21" s="7">
        <v>12</v>
      </c>
      <c r="L21" s="7">
        <v>11</v>
      </c>
      <c r="M21" s="7">
        <v>8</v>
      </c>
      <c r="N21" s="7">
        <v>9</v>
      </c>
      <c r="O21" s="7">
        <v>14</v>
      </c>
      <c r="P21" s="7">
        <v>4</v>
      </c>
      <c r="Q21" s="7">
        <v>1</v>
      </c>
      <c r="R21" s="7">
        <v>1</v>
      </c>
      <c r="S21" s="7">
        <v>4</v>
      </c>
    </row>
    <row r="22" spans="1:19">
      <c r="A22" s="6">
        <v>46043</v>
      </c>
      <c r="B22" s="7" t="s">
        <v>17</v>
      </c>
      <c r="C22" s="7" t="s">
        <v>46</v>
      </c>
      <c r="D22" s="7">
        <v>52</v>
      </c>
      <c r="E22" s="7">
        <v>26</v>
      </c>
      <c r="F22" s="7">
        <v>26</v>
      </c>
      <c r="G22" s="7">
        <v>51</v>
      </c>
      <c r="H22" s="8">
        <v>1345.82</v>
      </c>
      <c r="I22" s="8">
        <v>432.51</v>
      </c>
      <c r="J22" s="8">
        <v>307.51</v>
      </c>
      <c r="K22" s="7">
        <v>17</v>
      </c>
      <c r="L22" s="7">
        <v>15</v>
      </c>
      <c r="M22" s="7">
        <v>12</v>
      </c>
      <c r="N22" s="7">
        <v>13</v>
      </c>
      <c r="O22" s="7">
        <v>16</v>
      </c>
      <c r="P22" s="7">
        <v>4</v>
      </c>
      <c r="Q22" s="7">
        <v>1</v>
      </c>
      <c r="R22" s="7">
        <v>2</v>
      </c>
      <c r="S22" s="7">
        <v>10</v>
      </c>
    </row>
    <row r="23" spans="1:19">
      <c r="A23" s="6">
        <v>46044</v>
      </c>
      <c r="B23" s="7" t="s">
        <v>17</v>
      </c>
      <c r="C23" s="7" t="s">
        <v>40</v>
      </c>
      <c r="D23" s="7">
        <v>48</v>
      </c>
      <c r="E23" s="7">
        <v>28</v>
      </c>
      <c r="F23" s="7">
        <v>20</v>
      </c>
      <c r="G23" s="7">
        <v>48</v>
      </c>
      <c r="H23" s="8">
        <v>1268.51</v>
      </c>
      <c r="I23" s="8">
        <v>458.56</v>
      </c>
      <c r="J23" s="8">
        <v>332.19</v>
      </c>
      <c r="K23" s="7">
        <v>16</v>
      </c>
      <c r="L23" s="7">
        <v>14</v>
      </c>
      <c r="M23" s="7">
        <v>12</v>
      </c>
      <c r="N23" s="7">
        <v>9</v>
      </c>
      <c r="O23" s="7">
        <v>18</v>
      </c>
      <c r="P23" s="7">
        <v>4</v>
      </c>
      <c r="Q23" s="7">
        <v>1</v>
      </c>
      <c r="R23" s="7">
        <v>3</v>
      </c>
      <c r="S23" s="7">
        <v>9</v>
      </c>
    </row>
    <row r="24" spans="1:19">
      <c r="A24" s="6">
        <v>46045</v>
      </c>
      <c r="B24" s="7" t="s">
        <v>17</v>
      </c>
      <c r="C24" s="7" t="s">
        <v>41</v>
      </c>
      <c r="D24" s="7">
        <v>75</v>
      </c>
      <c r="E24" s="7">
        <v>39</v>
      </c>
      <c r="F24" s="7">
        <v>36</v>
      </c>
      <c r="G24" s="7">
        <v>71</v>
      </c>
      <c r="H24" s="8">
        <v>2324.04</v>
      </c>
      <c r="I24" s="8">
        <v>831.84</v>
      </c>
      <c r="J24" s="8">
        <v>519.07000000000005</v>
      </c>
      <c r="K24" s="7">
        <v>22</v>
      </c>
      <c r="L24" s="7">
        <v>19</v>
      </c>
      <c r="M24" s="7">
        <v>14</v>
      </c>
      <c r="N24" s="7">
        <v>18</v>
      </c>
      <c r="O24" s="7">
        <v>22</v>
      </c>
      <c r="P24" s="7">
        <v>5</v>
      </c>
      <c r="Q24" s="7">
        <v>1</v>
      </c>
      <c r="R24" s="7">
        <v>3</v>
      </c>
      <c r="S24" s="7">
        <v>10</v>
      </c>
    </row>
    <row r="25" spans="1:19">
      <c r="A25" s="6">
        <v>46046</v>
      </c>
      <c r="B25" s="7" t="s">
        <v>17</v>
      </c>
      <c r="C25" s="7" t="s">
        <v>42</v>
      </c>
      <c r="D25" s="7">
        <v>88</v>
      </c>
      <c r="E25" s="7">
        <v>43</v>
      </c>
      <c r="F25" s="7">
        <v>45</v>
      </c>
      <c r="G25" s="7">
        <v>84</v>
      </c>
      <c r="H25" s="8">
        <v>2633.31</v>
      </c>
      <c r="I25" s="8">
        <v>882.12</v>
      </c>
      <c r="J25" s="8">
        <v>708.02</v>
      </c>
      <c r="K25" s="7">
        <v>23</v>
      </c>
      <c r="L25" s="7">
        <v>26</v>
      </c>
      <c r="M25" s="7">
        <v>16</v>
      </c>
      <c r="N25" s="7">
        <v>22</v>
      </c>
      <c r="O25" s="7">
        <v>26</v>
      </c>
      <c r="P25" s="7">
        <v>11</v>
      </c>
      <c r="Q25" s="7">
        <v>1</v>
      </c>
      <c r="R25" s="7">
        <v>3</v>
      </c>
      <c r="S25" s="7">
        <v>9</v>
      </c>
    </row>
    <row r="26" spans="1:19">
      <c r="A26" s="6">
        <v>46047</v>
      </c>
      <c r="B26" s="7" t="s">
        <v>17</v>
      </c>
      <c r="C26" s="7" t="s">
        <v>43</v>
      </c>
      <c r="D26" s="7">
        <v>64</v>
      </c>
      <c r="E26" s="7">
        <v>35</v>
      </c>
      <c r="F26" s="7">
        <v>29</v>
      </c>
      <c r="G26" s="7">
        <v>63</v>
      </c>
      <c r="H26" s="8">
        <v>1752.1</v>
      </c>
      <c r="I26" s="8">
        <v>602.41999999999996</v>
      </c>
      <c r="J26" s="8">
        <v>394.72</v>
      </c>
      <c r="K26" s="7">
        <v>19</v>
      </c>
      <c r="L26" s="7">
        <v>14</v>
      </c>
      <c r="M26" s="7">
        <v>15</v>
      </c>
      <c r="N26" s="7">
        <v>15</v>
      </c>
      <c r="O26" s="7">
        <v>24</v>
      </c>
      <c r="P26" s="7">
        <v>7</v>
      </c>
      <c r="Q26" s="7">
        <v>1</v>
      </c>
      <c r="R26" s="7">
        <v>4</v>
      </c>
      <c r="S26" s="7">
        <v>9</v>
      </c>
    </row>
    <row r="27" spans="1:19">
      <c r="A27" s="6">
        <v>46048</v>
      </c>
      <c r="B27" s="7" t="s">
        <v>17</v>
      </c>
      <c r="C27" s="7" t="s">
        <v>44</v>
      </c>
      <c r="D27" s="7">
        <v>33</v>
      </c>
      <c r="E27" s="7">
        <v>18</v>
      </c>
      <c r="F27" s="7">
        <v>15</v>
      </c>
      <c r="G27" s="7">
        <v>32</v>
      </c>
      <c r="H27" s="8">
        <v>876.27</v>
      </c>
      <c r="I27" s="8">
        <v>313.18</v>
      </c>
      <c r="J27" s="8">
        <v>221.86</v>
      </c>
      <c r="K27" s="7">
        <v>8</v>
      </c>
      <c r="L27" s="7">
        <v>8</v>
      </c>
      <c r="M27" s="7">
        <v>7</v>
      </c>
      <c r="N27" s="7">
        <v>7</v>
      </c>
      <c r="O27" s="7">
        <v>10</v>
      </c>
      <c r="P27" s="7">
        <v>2</v>
      </c>
      <c r="Q27" s="7">
        <v>0</v>
      </c>
      <c r="R27" s="7">
        <v>2</v>
      </c>
      <c r="S27" s="7">
        <v>7</v>
      </c>
    </row>
    <row r="28" spans="1:19">
      <c r="A28" s="6">
        <v>46049</v>
      </c>
      <c r="B28" s="7" t="s">
        <v>17</v>
      </c>
      <c r="C28" s="7" t="s">
        <v>45</v>
      </c>
      <c r="D28" s="7">
        <v>50</v>
      </c>
      <c r="E28" s="7">
        <v>30</v>
      </c>
      <c r="F28" s="7">
        <v>20</v>
      </c>
      <c r="G28" s="7">
        <v>49</v>
      </c>
      <c r="H28" s="8">
        <v>1249.6199999999999</v>
      </c>
      <c r="I28" s="8">
        <v>411.56</v>
      </c>
      <c r="J28" s="8">
        <v>294.64999999999998</v>
      </c>
      <c r="K28" s="7">
        <v>14</v>
      </c>
      <c r="L28" s="7">
        <v>14</v>
      </c>
      <c r="M28" s="7">
        <v>10</v>
      </c>
      <c r="N28" s="7">
        <v>11</v>
      </c>
      <c r="O28" s="7">
        <v>15</v>
      </c>
      <c r="P28" s="7">
        <v>5</v>
      </c>
      <c r="Q28" s="7">
        <v>0</v>
      </c>
      <c r="R28" s="7">
        <v>4</v>
      </c>
      <c r="S28" s="7">
        <v>10</v>
      </c>
    </row>
    <row r="29" spans="1:19">
      <c r="A29" s="6">
        <v>46050</v>
      </c>
      <c r="B29" s="7" t="s">
        <v>17</v>
      </c>
      <c r="C29" s="7" t="s">
        <v>46</v>
      </c>
      <c r="D29" s="7">
        <v>43</v>
      </c>
      <c r="E29" s="7">
        <v>27</v>
      </c>
      <c r="F29" s="7">
        <v>16</v>
      </c>
      <c r="G29" s="7">
        <v>42</v>
      </c>
      <c r="H29" s="8">
        <v>1230.5</v>
      </c>
      <c r="I29" s="8">
        <v>408.23</v>
      </c>
      <c r="J29" s="8">
        <v>318.83</v>
      </c>
      <c r="K29" s="7">
        <v>13</v>
      </c>
      <c r="L29" s="7">
        <v>12</v>
      </c>
      <c r="M29" s="7">
        <v>8</v>
      </c>
      <c r="N29" s="7">
        <v>9</v>
      </c>
      <c r="O29" s="7">
        <v>12</v>
      </c>
      <c r="P29" s="7">
        <v>3</v>
      </c>
      <c r="Q29" s="7">
        <v>0</v>
      </c>
      <c r="R29" s="7">
        <v>2</v>
      </c>
      <c r="S29" s="7">
        <v>8</v>
      </c>
    </row>
    <row r="30" spans="1:19">
      <c r="A30" s="6">
        <v>46051</v>
      </c>
      <c r="B30" s="7" t="s">
        <v>17</v>
      </c>
      <c r="C30" s="7" t="s">
        <v>40</v>
      </c>
      <c r="D30" s="7">
        <v>45</v>
      </c>
      <c r="E30" s="7">
        <v>27</v>
      </c>
      <c r="F30" s="7">
        <v>18</v>
      </c>
      <c r="G30" s="7">
        <v>45</v>
      </c>
      <c r="H30" s="8">
        <v>1280.98</v>
      </c>
      <c r="I30" s="8">
        <v>419.14</v>
      </c>
      <c r="J30" s="8">
        <v>319.43</v>
      </c>
      <c r="K30" s="7">
        <v>9</v>
      </c>
      <c r="L30" s="7">
        <v>13</v>
      </c>
      <c r="M30" s="7">
        <v>11</v>
      </c>
      <c r="N30" s="7">
        <v>9</v>
      </c>
      <c r="O30" s="7">
        <v>15</v>
      </c>
      <c r="P30" s="7">
        <v>3</v>
      </c>
      <c r="Q30" s="7">
        <v>0</v>
      </c>
      <c r="R30" s="7">
        <v>3</v>
      </c>
      <c r="S30" s="7">
        <v>7</v>
      </c>
    </row>
    <row r="31" spans="1:19">
      <c r="A31" s="6">
        <v>46052</v>
      </c>
      <c r="B31" s="7" t="s">
        <v>17</v>
      </c>
      <c r="C31" s="7" t="s">
        <v>41</v>
      </c>
      <c r="D31" s="7">
        <v>79</v>
      </c>
      <c r="E31" s="7">
        <v>47</v>
      </c>
      <c r="F31" s="7">
        <v>32</v>
      </c>
      <c r="G31" s="7">
        <v>80</v>
      </c>
      <c r="H31" s="8">
        <v>2419.1</v>
      </c>
      <c r="I31" s="8">
        <v>858.95</v>
      </c>
      <c r="J31" s="8">
        <v>604.91</v>
      </c>
      <c r="K31" s="7">
        <v>27</v>
      </c>
      <c r="L31" s="7">
        <v>22</v>
      </c>
      <c r="M31" s="7">
        <v>20</v>
      </c>
      <c r="N31" s="7">
        <v>21</v>
      </c>
      <c r="O31" s="7">
        <v>29</v>
      </c>
      <c r="P31" s="7">
        <v>9</v>
      </c>
      <c r="Q31" s="7">
        <v>1</v>
      </c>
      <c r="R31" s="7">
        <v>4</v>
      </c>
      <c r="S31" s="7">
        <v>16</v>
      </c>
    </row>
    <row r="32" spans="1:19">
      <c r="A32" s="6">
        <v>46053</v>
      </c>
      <c r="B32" s="7" t="s">
        <v>17</v>
      </c>
      <c r="C32" s="7" t="s">
        <v>42</v>
      </c>
      <c r="D32" s="7">
        <v>111</v>
      </c>
      <c r="E32" s="7">
        <v>63</v>
      </c>
      <c r="F32" s="7">
        <v>48</v>
      </c>
      <c r="G32" s="7">
        <v>106</v>
      </c>
      <c r="H32" s="8">
        <v>3072.24</v>
      </c>
      <c r="I32" s="8">
        <v>1065.71</v>
      </c>
      <c r="J32" s="8">
        <v>786.34</v>
      </c>
      <c r="K32" s="7">
        <v>29</v>
      </c>
      <c r="L32" s="7">
        <v>29</v>
      </c>
      <c r="M32" s="7">
        <v>21</v>
      </c>
      <c r="N32" s="7">
        <v>21</v>
      </c>
      <c r="O32" s="7">
        <v>34</v>
      </c>
      <c r="P32" s="7">
        <v>9</v>
      </c>
      <c r="Q32" s="7">
        <v>1</v>
      </c>
      <c r="R32" s="7">
        <v>5</v>
      </c>
      <c r="S32" s="7">
        <v>17</v>
      </c>
    </row>
    <row r="33" spans="1:19">
      <c r="A33" s="6">
        <v>46054</v>
      </c>
      <c r="B33" s="7" t="s">
        <v>18</v>
      </c>
      <c r="C33" s="7" t="s">
        <v>43</v>
      </c>
      <c r="D33" s="7">
        <v>58</v>
      </c>
      <c r="E33" s="7">
        <v>35</v>
      </c>
      <c r="F33" s="7">
        <v>23</v>
      </c>
      <c r="G33" s="7">
        <v>58</v>
      </c>
      <c r="H33" s="8">
        <v>1724.83</v>
      </c>
      <c r="I33" s="8">
        <v>548.86</v>
      </c>
      <c r="J33" s="8">
        <v>404.4</v>
      </c>
      <c r="K33" s="7">
        <v>16</v>
      </c>
      <c r="L33" s="7">
        <v>15</v>
      </c>
      <c r="M33" s="7">
        <v>11</v>
      </c>
      <c r="N33" s="7">
        <v>13</v>
      </c>
      <c r="O33" s="7">
        <v>24</v>
      </c>
      <c r="P33" s="7">
        <v>6</v>
      </c>
      <c r="Q33" s="7">
        <v>1</v>
      </c>
      <c r="R33" s="7">
        <v>3</v>
      </c>
      <c r="S33" s="7">
        <v>12</v>
      </c>
    </row>
    <row r="34" spans="1:19">
      <c r="A34" s="6">
        <v>46055</v>
      </c>
      <c r="B34" s="7" t="s">
        <v>18</v>
      </c>
      <c r="C34" s="7" t="s">
        <v>44</v>
      </c>
      <c r="D34" s="7">
        <v>36</v>
      </c>
      <c r="E34" s="7">
        <v>21</v>
      </c>
      <c r="F34" s="7">
        <v>15</v>
      </c>
      <c r="G34" s="7">
        <v>36</v>
      </c>
      <c r="H34" s="8">
        <v>1102.3399999999999</v>
      </c>
      <c r="I34" s="8">
        <v>399.79</v>
      </c>
      <c r="J34" s="8">
        <v>259.20999999999998</v>
      </c>
      <c r="K34" s="7">
        <v>11</v>
      </c>
      <c r="L34" s="7">
        <v>10</v>
      </c>
      <c r="M34" s="7">
        <v>8</v>
      </c>
      <c r="N34" s="7">
        <v>7</v>
      </c>
      <c r="O34" s="7">
        <v>11</v>
      </c>
      <c r="P34" s="7">
        <v>3</v>
      </c>
      <c r="Q34" s="7">
        <v>0</v>
      </c>
      <c r="R34" s="7">
        <v>1</v>
      </c>
      <c r="S34" s="7">
        <v>5</v>
      </c>
    </row>
    <row r="35" spans="1:19">
      <c r="A35" s="6">
        <v>46056</v>
      </c>
      <c r="B35" s="7" t="s">
        <v>18</v>
      </c>
      <c r="C35" s="7" t="s">
        <v>45</v>
      </c>
      <c r="D35" s="7">
        <v>44</v>
      </c>
      <c r="E35" s="7">
        <v>25</v>
      </c>
      <c r="F35" s="7">
        <v>19</v>
      </c>
      <c r="G35" s="7">
        <v>42</v>
      </c>
      <c r="H35" s="8">
        <v>1188.78</v>
      </c>
      <c r="I35" s="8">
        <v>382.05</v>
      </c>
      <c r="J35" s="8">
        <v>294.02999999999997</v>
      </c>
      <c r="K35" s="7">
        <v>9</v>
      </c>
      <c r="L35" s="7">
        <v>11</v>
      </c>
      <c r="M35" s="7">
        <v>9</v>
      </c>
      <c r="N35" s="7">
        <v>8</v>
      </c>
      <c r="O35" s="7">
        <v>16</v>
      </c>
      <c r="P35" s="7">
        <v>3</v>
      </c>
      <c r="Q35" s="7">
        <v>0</v>
      </c>
      <c r="R35" s="7">
        <v>2</v>
      </c>
      <c r="S35" s="7">
        <v>4</v>
      </c>
    </row>
    <row r="36" spans="1:19">
      <c r="A36" s="6">
        <v>46057</v>
      </c>
      <c r="B36" s="7" t="s">
        <v>18</v>
      </c>
      <c r="C36" s="7" t="s">
        <v>46</v>
      </c>
      <c r="D36" s="7">
        <v>48</v>
      </c>
      <c r="E36" s="7">
        <v>25</v>
      </c>
      <c r="F36" s="7">
        <v>23</v>
      </c>
      <c r="G36" s="7">
        <v>46</v>
      </c>
      <c r="H36" s="8">
        <v>1380.55</v>
      </c>
      <c r="I36" s="8">
        <v>492.3</v>
      </c>
      <c r="J36" s="8">
        <v>310.81</v>
      </c>
      <c r="K36" s="7">
        <v>10</v>
      </c>
      <c r="L36" s="7">
        <v>10</v>
      </c>
      <c r="M36" s="7">
        <v>10</v>
      </c>
      <c r="N36" s="7">
        <v>12</v>
      </c>
      <c r="O36" s="7">
        <v>15</v>
      </c>
      <c r="P36" s="7">
        <v>5</v>
      </c>
      <c r="Q36" s="7">
        <v>1</v>
      </c>
      <c r="R36" s="7">
        <v>3</v>
      </c>
      <c r="S36" s="7">
        <v>8</v>
      </c>
    </row>
    <row r="37" spans="1:19">
      <c r="A37" s="6">
        <v>46058</v>
      </c>
      <c r="B37" s="7" t="s">
        <v>18</v>
      </c>
      <c r="C37" s="7" t="s">
        <v>40</v>
      </c>
      <c r="D37" s="7">
        <v>58</v>
      </c>
      <c r="E37" s="7">
        <v>28</v>
      </c>
      <c r="F37" s="7">
        <v>30</v>
      </c>
      <c r="G37" s="7">
        <v>55</v>
      </c>
      <c r="H37" s="8">
        <v>1409.23</v>
      </c>
      <c r="I37" s="8">
        <v>454.64</v>
      </c>
      <c r="J37" s="8">
        <v>306.61</v>
      </c>
      <c r="K37" s="7">
        <v>16</v>
      </c>
      <c r="L37" s="7">
        <v>15</v>
      </c>
      <c r="M37" s="7">
        <v>11</v>
      </c>
      <c r="N37" s="7">
        <v>14</v>
      </c>
      <c r="O37" s="7">
        <v>21</v>
      </c>
      <c r="P37" s="7">
        <v>4</v>
      </c>
      <c r="Q37" s="7">
        <v>0</v>
      </c>
      <c r="R37" s="7">
        <v>3</v>
      </c>
      <c r="S37" s="7">
        <v>10</v>
      </c>
    </row>
    <row r="38" spans="1:19">
      <c r="A38" s="6">
        <v>46059</v>
      </c>
      <c r="B38" s="7" t="s">
        <v>18</v>
      </c>
      <c r="C38" s="7" t="s">
        <v>41</v>
      </c>
      <c r="D38" s="7">
        <v>83</v>
      </c>
      <c r="E38" s="7">
        <v>52</v>
      </c>
      <c r="F38" s="7">
        <v>31</v>
      </c>
      <c r="G38" s="7">
        <v>77</v>
      </c>
      <c r="H38" s="8">
        <v>2261.62</v>
      </c>
      <c r="I38" s="8">
        <v>789.01</v>
      </c>
      <c r="J38" s="8">
        <v>604.96</v>
      </c>
      <c r="K38" s="7">
        <v>20</v>
      </c>
      <c r="L38" s="7">
        <v>22</v>
      </c>
      <c r="M38" s="7">
        <v>14</v>
      </c>
      <c r="N38" s="7">
        <v>19</v>
      </c>
      <c r="O38" s="7">
        <v>28</v>
      </c>
      <c r="P38" s="7">
        <v>6</v>
      </c>
      <c r="Q38" s="7">
        <v>1</v>
      </c>
      <c r="R38" s="7">
        <v>5</v>
      </c>
      <c r="S38" s="7">
        <v>16</v>
      </c>
    </row>
    <row r="39" spans="1:19">
      <c r="A39" s="6">
        <v>46060</v>
      </c>
      <c r="B39" s="7" t="s">
        <v>18</v>
      </c>
      <c r="C39" s="7" t="s">
        <v>42</v>
      </c>
      <c r="D39" s="7">
        <v>71</v>
      </c>
      <c r="E39" s="7">
        <v>44</v>
      </c>
      <c r="F39" s="7">
        <v>27</v>
      </c>
      <c r="G39" s="7">
        <v>73</v>
      </c>
      <c r="H39" s="8">
        <v>2350.29</v>
      </c>
      <c r="I39" s="8">
        <v>781.14</v>
      </c>
      <c r="J39" s="8">
        <v>553.97</v>
      </c>
      <c r="K39" s="7">
        <v>18</v>
      </c>
      <c r="L39" s="7">
        <v>19</v>
      </c>
      <c r="M39" s="7">
        <v>15</v>
      </c>
      <c r="N39" s="7">
        <v>19</v>
      </c>
      <c r="O39" s="7">
        <v>29</v>
      </c>
      <c r="P39" s="7">
        <v>5</v>
      </c>
      <c r="Q39" s="7">
        <v>1</v>
      </c>
      <c r="R39" s="7">
        <v>5</v>
      </c>
      <c r="S39" s="7">
        <v>13</v>
      </c>
    </row>
    <row r="40" spans="1:19">
      <c r="A40" s="6">
        <v>46061</v>
      </c>
      <c r="B40" s="7" t="s">
        <v>18</v>
      </c>
      <c r="C40" s="7" t="s">
        <v>43</v>
      </c>
      <c r="D40" s="7">
        <v>63</v>
      </c>
      <c r="E40" s="7">
        <v>33</v>
      </c>
      <c r="F40" s="7">
        <v>30</v>
      </c>
      <c r="G40" s="7">
        <v>65</v>
      </c>
      <c r="H40" s="8">
        <v>1762.83</v>
      </c>
      <c r="I40" s="8">
        <v>626.53</v>
      </c>
      <c r="J40" s="8">
        <v>427.12</v>
      </c>
      <c r="K40" s="7">
        <v>17</v>
      </c>
      <c r="L40" s="7">
        <v>17</v>
      </c>
      <c r="M40" s="7">
        <v>15</v>
      </c>
      <c r="N40" s="7">
        <v>14</v>
      </c>
      <c r="O40" s="7">
        <v>26</v>
      </c>
      <c r="P40" s="7">
        <v>7</v>
      </c>
      <c r="Q40" s="7">
        <v>1</v>
      </c>
      <c r="R40" s="7">
        <v>2</v>
      </c>
      <c r="S40" s="7">
        <v>13</v>
      </c>
    </row>
    <row r="41" spans="1:19">
      <c r="A41" s="6">
        <v>46062</v>
      </c>
      <c r="B41" s="7" t="s">
        <v>18</v>
      </c>
      <c r="C41" s="7" t="s">
        <v>44</v>
      </c>
      <c r="D41" s="7">
        <v>32</v>
      </c>
      <c r="E41" s="7">
        <v>18</v>
      </c>
      <c r="F41" s="7">
        <v>14</v>
      </c>
      <c r="G41" s="7">
        <v>32</v>
      </c>
      <c r="H41" s="8">
        <v>888.77</v>
      </c>
      <c r="I41" s="8">
        <v>281.24</v>
      </c>
      <c r="J41" s="8">
        <v>232.02</v>
      </c>
      <c r="K41" s="7">
        <v>7</v>
      </c>
      <c r="L41" s="7">
        <v>8</v>
      </c>
      <c r="M41" s="7">
        <v>8</v>
      </c>
      <c r="N41" s="7">
        <v>7</v>
      </c>
      <c r="O41" s="7">
        <v>13</v>
      </c>
      <c r="P41" s="7">
        <v>3</v>
      </c>
      <c r="Q41" s="7">
        <v>0</v>
      </c>
      <c r="R41" s="7">
        <v>1</v>
      </c>
      <c r="S41" s="7">
        <v>3</v>
      </c>
    </row>
    <row r="42" spans="1:19">
      <c r="A42" s="6">
        <v>46063</v>
      </c>
      <c r="B42" s="7" t="s">
        <v>18</v>
      </c>
      <c r="C42" s="7" t="s">
        <v>45</v>
      </c>
      <c r="D42" s="7">
        <v>51</v>
      </c>
      <c r="E42" s="7">
        <v>29</v>
      </c>
      <c r="F42" s="7">
        <v>22</v>
      </c>
      <c r="G42" s="7">
        <v>51</v>
      </c>
      <c r="H42" s="8">
        <v>1511.83</v>
      </c>
      <c r="I42" s="8">
        <v>525.04999999999995</v>
      </c>
      <c r="J42" s="8">
        <v>362.01</v>
      </c>
      <c r="K42" s="7">
        <v>16</v>
      </c>
      <c r="L42" s="7">
        <v>12</v>
      </c>
      <c r="M42" s="7">
        <v>10</v>
      </c>
      <c r="N42" s="7">
        <v>13</v>
      </c>
      <c r="O42" s="7">
        <v>16</v>
      </c>
      <c r="P42" s="7">
        <v>5</v>
      </c>
      <c r="Q42" s="7">
        <v>1</v>
      </c>
      <c r="R42" s="7">
        <v>2</v>
      </c>
      <c r="S42" s="7">
        <v>8</v>
      </c>
    </row>
    <row r="43" spans="1:19">
      <c r="A43" s="6">
        <v>46064</v>
      </c>
      <c r="B43" s="7" t="s">
        <v>18</v>
      </c>
      <c r="C43" s="7" t="s">
        <v>46</v>
      </c>
      <c r="D43" s="7">
        <v>52</v>
      </c>
      <c r="E43" s="7">
        <v>27</v>
      </c>
      <c r="F43" s="7">
        <v>25</v>
      </c>
      <c r="G43" s="7">
        <v>50</v>
      </c>
      <c r="H43" s="8">
        <v>1485.86</v>
      </c>
      <c r="I43" s="8">
        <v>488.17</v>
      </c>
      <c r="J43" s="8">
        <v>334.44</v>
      </c>
      <c r="K43" s="7">
        <v>11</v>
      </c>
      <c r="L43" s="7">
        <v>12</v>
      </c>
      <c r="M43" s="7">
        <v>9</v>
      </c>
      <c r="N43" s="7">
        <v>12</v>
      </c>
      <c r="O43" s="7">
        <v>19</v>
      </c>
      <c r="P43" s="7">
        <v>4</v>
      </c>
      <c r="Q43" s="7">
        <v>1</v>
      </c>
      <c r="R43" s="7">
        <v>2</v>
      </c>
      <c r="S43" s="7">
        <v>8</v>
      </c>
    </row>
    <row r="44" spans="1:19">
      <c r="A44" s="6">
        <v>46065</v>
      </c>
      <c r="B44" s="7" t="s">
        <v>18</v>
      </c>
      <c r="C44" s="7" t="s">
        <v>40</v>
      </c>
      <c r="D44" s="7">
        <v>60</v>
      </c>
      <c r="E44" s="7">
        <v>36</v>
      </c>
      <c r="F44" s="7">
        <v>24</v>
      </c>
      <c r="G44" s="7">
        <v>56</v>
      </c>
      <c r="H44" s="8">
        <v>1493.22</v>
      </c>
      <c r="I44" s="8">
        <v>487.35</v>
      </c>
      <c r="J44" s="8">
        <v>329.65</v>
      </c>
      <c r="K44" s="7">
        <v>11</v>
      </c>
      <c r="L44" s="7">
        <v>15</v>
      </c>
      <c r="M44" s="7">
        <v>11</v>
      </c>
      <c r="N44" s="7">
        <v>15</v>
      </c>
      <c r="O44" s="7">
        <v>20</v>
      </c>
      <c r="P44" s="7">
        <v>7</v>
      </c>
      <c r="Q44" s="7">
        <v>1</v>
      </c>
      <c r="R44" s="7">
        <v>2</v>
      </c>
      <c r="S44" s="7">
        <v>11</v>
      </c>
    </row>
    <row r="45" spans="1:19">
      <c r="A45" s="6">
        <v>46066</v>
      </c>
      <c r="B45" s="7" t="s">
        <v>18</v>
      </c>
      <c r="C45" s="7" t="s">
        <v>41</v>
      </c>
      <c r="D45" s="7">
        <v>72</v>
      </c>
      <c r="E45" s="7">
        <v>36</v>
      </c>
      <c r="F45" s="7">
        <v>36</v>
      </c>
      <c r="G45" s="7">
        <v>71</v>
      </c>
      <c r="H45" s="8">
        <v>2152.46</v>
      </c>
      <c r="I45" s="8">
        <v>725.43</v>
      </c>
      <c r="J45" s="8">
        <v>475.83</v>
      </c>
      <c r="K45" s="7">
        <v>15</v>
      </c>
      <c r="L45" s="7">
        <v>22</v>
      </c>
      <c r="M45" s="7">
        <v>15</v>
      </c>
      <c r="N45" s="7">
        <v>18</v>
      </c>
      <c r="O45" s="7">
        <v>24</v>
      </c>
      <c r="P45" s="7">
        <v>5</v>
      </c>
      <c r="Q45" s="7">
        <v>0</v>
      </c>
      <c r="R45" s="7">
        <v>4</v>
      </c>
      <c r="S45" s="7">
        <v>8</v>
      </c>
    </row>
    <row r="46" spans="1:19">
      <c r="A46" s="6">
        <v>46067</v>
      </c>
      <c r="B46" s="7" t="s">
        <v>18</v>
      </c>
      <c r="C46" s="7" t="s">
        <v>42</v>
      </c>
      <c r="D46" s="7">
        <v>88</v>
      </c>
      <c r="E46" s="7">
        <v>42</v>
      </c>
      <c r="F46" s="7">
        <v>46</v>
      </c>
      <c r="G46" s="7">
        <v>83</v>
      </c>
      <c r="H46" s="8">
        <v>2663.19</v>
      </c>
      <c r="I46" s="8">
        <v>919.64</v>
      </c>
      <c r="J46" s="8">
        <v>685.62</v>
      </c>
      <c r="K46" s="7">
        <v>19</v>
      </c>
      <c r="L46" s="7">
        <v>22</v>
      </c>
      <c r="M46" s="7">
        <v>18</v>
      </c>
      <c r="N46" s="7">
        <v>19</v>
      </c>
      <c r="O46" s="7">
        <v>33</v>
      </c>
      <c r="P46" s="7">
        <v>11</v>
      </c>
      <c r="Q46" s="7">
        <v>1</v>
      </c>
      <c r="R46" s="7">
        <v>4</v>
      </c>
      <c r="S46" s="7">
        <v>14</v>
      </c>
    </row>
    <row r="47" spans="1:19">
      <c r="A47" s="6">
        <v>46068</v>
      </c>
      <c r="B47" s="7" t="s">
        <v>18</v>
      </c>
      <c r="C47" s="7" t="s">
        <v>43</v>
      </c>
      <c r="D47" s="7">
        <v>63</v>
      </c>
      <c r="E47" s="7">
        <v>33</v>
      </c>
      <c r="F47" s="7">
        <v>30</v>
      </c>
      <c r="G47" s="7">
        <v>65</v>
      </c>
      <c r="H47" s="8">
        <v>1738.54</v>
      </c>
      <c r="I47" s="8">
        <v>565.98</v>
      </c>
      <c r="J47" s="8">
        <v>433.98</v>
      </c>
      <c r="K47" s="7">
        <v>14</v>
      </c>
      <c r="L47" s="7">
        <v>15</v>
      </c>
      <c r="M47" s="7">
        <v>12</v>
      </c>
      <c r="N47" s="7">
        <v>12</v>
      </c>
      <c r="O47" s="7">
        <v>22</v>
      </c>
      <c r="P47" s="7">
        <v>6</v>
      </c>
      <c r="Q47" s="7">
        <v>1</v>
      </c>
      <c r="R47" s="7">
        <v>2</v>
      </c>
      <c r="S47" s="7">
        <v>8</v>
      </c>
    </row>
    <row r="48" spans="1:19">
      <c r="A48" s="6">
        <v>46069</v>
      </c>
      <c r="B48" s="7" t="s">
        <v>18</v>
      </c>
      <c r="C48" s="7" t="s">
        <v>44</v>
      </c>
      <c r="D48" s="7">
        <v>35</v>
      </c>
      <c r="E48" s="7">
        <v>19</v>
      </c>
      <c r="F48" s="7">
        <v>16</v>
      </c>
      <c r="G48" s="7">
        <v>36</v>
      </c>
      <c r="H48" s="8">
        <v>1088.17</v>
      </c>
      <c r="I48" s="8">
        <v>376.78</v>
      </c>
      <c r="J48" s="8">
        <v>271.68</v>
      </c>
      <c r="K48" s="7">
        <v>12</v>
      </c>
      <c r="L48" s="7">
        <v>9</v>
      </c>
      <c r="M48" s="7">
        <v>8</v>
      </c>
      <c r="N48" s="7">
        <v>9</v>
      </c>
      <c r="O48" s="7">
        <v>15</v>
      </c>
      <c r="P48" s="7">
        <v>4</v>
      </c>
      <c r="Q48" s="7">
        <v>0</v>
      </c>
      <c r="R48" s="7">
        <v>1</v>
      </c>
      <c r="S48" s="7">
        <v>4</v>
      </c>
    </row>
    <row r="49" spans="1:19">
      <c r="A49" s="6">
        <v>46070</v>
      </c>
      <c r="B49" s="7" t="s">
        <v>18</v>
      </c>
      <c r="C49" s="7" t="s">
        <v>45</v>
      </c>
      <c r="D49" s="7">
        <v>39</v>
      </c>
      <c r="E49" s="7">
        <v>20</v>
      </c>
      <c r="F49" s="7">
        <v>19</v>
      </c>
      <c r="G49" s="7">
        <v>38</v>
      </c>
      <c r="H49" s="8">
        <v>1034.8</v>
      </c>
      <c r="I49" s="8">
        <v>332.4</v>
      </c>
      <c r="J49" s="8">
        <v>260.07</v>
      </c>
      <c r="K49" s="7">
        <v>11</v>
      </c>
      <c r="L49" s="7">
        <v>12</v>
      </c>
      <c r="M49" s="7">
        <v>8</v>
      </c>
      <c r="N49" s="7">
        <v>9</v>
      </c>
      <c r="O49" s="7">
        <v>11</v>
      </c>
      <c r="P49" s="7">
        <v>2</v>
      </c>
      <c r="Q49" s="7">
        <v>0</v>
      </c>
      <c r="R49" s="7">
        <v>2</v>
      </c>
      <c r="S49" s="7">
        <v>5</v>
      </c>
    </row>
    <row r="50" spans="1:19">
      <c r="A50" s="6">
        <v>46071</v>
      </c>
      <c r="B50" s="7" t="s">
        <v>18</v>
      </c>
      <c r="C50" s="7" t="s">
        <v>46</v>
      </c>
      <c r="D50" s="7">
        <v>59</v>
      </c>
      <c r="E50" s="7">
        <v>30</v>
      </c>
      <c r="F50" s="7">
        <v>29</v>
      </c>
      <c r="G50" s="7">
        <v>58</v>
      </c>
      <c r="H50" s="8">
        <v>1809.87</v>
      </c>
      <c r="I50" s="8">
        <v>660.56</v>
      </c>
      <c r="J50" s="8">
        <v>453.08</v>
      </c>
      <c r="K50" s="7">
        <v>14</v>
      </c>
      <c r="L50" s="7">
        <v>13</v>
      </c>
      <c r="M50" s="7">
        <v>14</v>
      </c>
      <c r="N50" s="7">
        <v>13</v>
      </c>
      <c r="O50" s="7">
        <v>22</v>
      </c>
      <c r="P50" s="7">
        <v>7</v>
      </c>
      <c r="Q50" s="7">
        <v>1</v>
      </c>
      <c r="R50" s="7">
        <v>2</v>
      </c>
      <c r="S50" s="7">
        <v>10</v>
      </c>
    </row>
    <row r="51" spans="1:19">
      <c r="A51" s="6">
        <v>46072</v>
      </c>
      <c r="B51" s="7" t="s">
        <v>18</v>
      </c>
      <c r="C51" s="7" t="s">
        <v>40</v>
      </c>
      <c r="D51" s="7">
        <v>61</v>
      </c>
      <c r="E51" s="7">
        <v>34</v>
      </c>
      <c r="F51" s="7">
        <v>27</v>
      </c>
      <c r="G51" s="7">
        <v>57</v>
      </c>
      <c r="H51" s="8">
        <v>1572.5</v>
      </c>
      <c r="I51" s="8">
        <v>521.54</v>
      </c>
      <c r="J51" s="8">
        <v>393.45</v>
      </c>
      <c r="K51" s="7">
        <v>18</v>
      </c>
      <c r="L51" s="7">
        <v>14</v>
      </c>
      <c r="M51" s="7">
        <v>13</v>
      </c>
      <c r="N51" s="7">
        <v>12</v>
      </c>
      <c r="O51" s="7">
        <v>24</v>
      </c>
      <c r="P51" s="7">
        <v>7</v>
      </c>
      <c r="Q51" s="7">
        <v>1</v>
      </c>
      <c r="R51" s="7">
        <v>3</v>
      </c>
      <c r="S51" s="7">
        <v>9</v>
      </c>
    </row>
    <row r="52" spans="1:19">
      <c r="A52" s="6">
        <v>46073</v>
      </c>
      <c r="B52" s="7" t="s">
        <v>18</v>
      </c>
      <c r="C52" s="7" t="s">
        <v>41</v>
      </c>
      <c r="D52" s="7">
        <v>63</v>
      </c>
      <c r="E52" s="7">
        <v>36</v>
      </c>
      <c r="F52" s="7">
        <v>27</v>
      </c>
      <c r="G52" s="7">
        <v>62</v>
      </c>
      <c r="H52" s="8">
        <v>2072.58</v>
      </c>
      <c r="I52" s="8">
        <v>721.02</v>
      </c>
      <c r="J52" s="8">
        <v>502.72</v>
      </c>
      <c r="K52" s="7">
        <v>16</v>
      </c>
      <c r="L52" s="7">
        <v>15</v>
      </c>
      <c r="M52" s="7">
        <v>13</v>
      </c>
      <c r="N52" s="7">
        <v>16</v>
      </c>
      <c r="O52" s="7">
        <v>23</v>
      </c>
      <c r="P52" s="7">
        <v>7</v>
      </c>
      <c r="Q52" s="7">
        <v>1</v>
      </c>
      <c r="R52" s="7">
        <v>2</v>
      </c>
      <c r="S52" s="7">
        <v>10</v>
      </c>
    </row>
    <row r="53" spans="1:19">
      <c r="A53" s="6">
        <v>46074</v>
      </c>
      <c r="B53" s="7" t="s">
        <v>18</v>
      </c>
      <c r="C53" s="7" t="s">
        <v>42</v>
      </c>
      <c r="D53" s="7">
        <v>122</v>
      </c>
      <c r="E53" s="7">
        <v>70</v>
      </c>
      <c r="F53" s="7">
        <v>52</v>
      </c>
      <c r="G53" s="7">
        <v>122</v>
      </c>
      <c r="H53" s="8">
        <v>3443.88</v>
      </c>
      <c r="I53" s="8">
        <v>1252.3900000000001</v>
      </c>
      <c r="J53" s="8">
        <v>849.03</v>
      </c>
      <c r="K53" s="7">
        <v>28</v>
      </c>
      <c r="L53" s="7">
        <v>29</v>
      </c>
      <c r="M53" s="7">
        <v>27</v>
      </c>
      <c r="N53" s="7">
        <v>29</v>
      </c>
      <c r="O53" s="7">
        <v>36</v>
      </c>
      <c r="P53" s="7">
        <v>16</v>
      </c>
      <c r="Q53" s="7">
        <v>1</v>
      </c>
      <c r="R53" s="7">
        <v>9</v>
      </c>
      <c r="S53" s="7">
        <v>19</v>
      </c>
    </row>
    <row r="54" spans="1:19">
      <c r="A54" s="6">
        <v>46075</v>
      </c>
      <c r="B54" s="7" t="s">
        <v>18</v>
      </c>
      <c r="C54" s="7" t="s">
        <v>43</v>
      </c>
      <c r="D54" s="7">
        <v>69</v>
      </c>
      <c r="E54" s="7">
        <v>36</v>
      </c>
      <c r="F54" s="7">
        <v>33</v>
      </c>
      <c r="G54" s="7">
        <v>68</v>
      </c>
      <c r="H54" s="8">
        <v>1845.56</v>
      </c>
      <c r="I54" s="8">
        <v>658.38</v>
      </c>
      <c r="J54" s="8">
        <v>496.11</v>
      </c>
      <c r="K54" s="7">
        <v>16</v>
      </c>
      <c r="L54" s="7">
        <v>18</v>
      </c>
      <c r="M54" s="7">
        <v>14</v>
      </c>
      <c r="N54" s="7">
        <v>18</v>
      </c>
      <c r="O54" s="7">
        <v>24</v>
      </c>
      <c r="P54" s="7">
        <v>8</v>
      </c>
      <c r="Q54" s="7">
        <v>1</v>
      </c>
      <c r="R54" s="7">
        <v>5</v>
      </c>
      <c r="S54" s="7">
        <v>9</v>
      </c>
    </row>
    <row r="55" spans="1:19">
      <c r="A55" s="6">
        <v>46076</v>
      </c>
      <c r="B55" s="7" t="s">
        <v>18</v>
      </c>
      <c r="C55" s="7" t="s">
        <v>44</v>
      </c>
      <c r="D55" s="7">
        <v>32</v>
      </c>
      <c r="E55" s="7">
        <v>18</v>
      </c>
      <c r="F55" s="7">
        <v>14</v>
      </c>
      <c r="G55" s="7">
        <v>33</v>
      </c>
      <c r="H55" s="8">
        <v>942.03</v>
      </c>
      <c r="I55" s="8">
        <v>335.39</v>
      </c>
      <c r="J55" s="8">
        <v>213.81</v>
      </c>
      <c r="K55" s="7">
        <v>8</v>
      </c>
      <c r="L55" s="7">
        <v>9</v>
      </c>
      <c r="M55" s="7">
        <v>8</v>
      </c>
      <c r="N55" s="7">
        <v>8</v>
      </c>
      <c r="O55" s="7">
        <v>10</v>
      </c>
      <c r="P55" s="7">
        <v>3</v>
      </c>
      <c r="Q55" s="7">
        <v>0</v>
      </c>
      <c r="R55" s="7">
        <v>1</v>
      </c>
      <c r="S55" s="7">
        <v>5</v>
      </c>
    </row>
    <row r="56" spans="1:19">
      <c r="A56" s="6">
        <v>46077</v>
      </c>
      <c r="B56" s="7" t="s">
        <v>18</v>
      </c>
      <c r="C56" s="7" t="s">
        <v>45</v>
      </c>
      <c r="D56" s="7">
        <v>39</v>
      </c>
      <c r="E56" s="7">
        <v>24</v>
      </c>
      <c r="F56" s="7">
        <v>15</v>
      </c>
      <c r="G56" s="7">
        <v>39</v>
      </c>
      <c r="H56" s="8">
        <v>1128.3</v>
      </c>
      <c r="I56" s="8">
        <v>368.59</v>
      </c>
      <c r="J56" s="8">
        <v>289.45</v>
      </c>
      <c r="K56" s="7">
        <v>8</v>
      </c>
      <c r="L56" s="7">
        <v>11</v>
      </c>
      <c r="M56" s="7">
        <v>9</v>
      </c>
      <c r="N56" s="7">
        <v>10</v>
      </c>
      <c r="O56" s="7">
        <v>13</v>
      </c>
      <c r="P56" s="7">
        <v>4</v>
      </c>
      <c r="Q56" s="7">
        <v>0</v>
      </c>
      <c r="R56" s="7">
        <v>3</v>
      </c>
      <c r="S56" s="7">
        <v>8</v>
      </c>
    </row>
    <row r="57" spans="1:19">
      <c r="A57" s="6">
        <v>46078</v>
      </c>
      <c r="B57" s="7" t="s">
        <v>18</v>
      </c>
      <c r="C57" s="7" t="s">
        <v>46</v>
      </c>
      <c r="D57" s="7">
        <v>48</v>
      </c>
      <c r="E57" s="7">
        <v>30</v>
      </c>
      <c r="F57" s="7">
        <v>18</v>
      </c>
      <c r="G57" s="7">
        <v>47</v>
      </c>
      <c r="H57" s="8">
        <v>1364.93</v>
      </c>
      <c r="I57" s="8">
        <v>489.31</v>
      </c>
      <c r="J57" s="8">
        <v>358.23</v>
      </c>
      <c r="K57" s="7">
        <v>12</v>
      </c>
      <c r="L57" s="7">
        <v>13</v>
      </c>
      <c r="M57" s="7">
        <v>10</v>
      </c>
      <c r="N57" s="7">
        <v>12</v>
      </c>
      <c r="O57" s="7">
        <v>16</v>
      </c>
      <c r="P57" s="7">
        <v>5</v>
      </c>
      <c r="Q57" s="7">
        <v>1</v>
      </c>
      <c r="R57" s="7">
        <v>2</v>
      </c>
      <c r="S57" s="7">
        <v>7</v>
      </c>
    </row>
    <row r="58" spans="1:19">
      <c r="A58" s="6">
        <v>46079</v>
      </c>
      <c r="B58" s="7" t="s">
        <v>18</v>
      </c>
      <c r="C58" s="7" t="s">
        <v>40</v>
      </c>
      <c r="D58" s="7">
        <v>47</v>
      </c>
      <c r="E58" s="7">
        <v>25</v>
      </c>
      <c r="F58" s="7">
        <v>22</v>
      </c>
      <c r="G58" s="7">
        <v>48</v>
      </c>
      <c r="H58" s="8">
        <v>1469.47</v>
      </c>
      <c r="I58" s="8">
        <v>526.02</v>
      </c>
      <c r="J58" s="8">
        <v>342.09</v>
      </c>
      <c r="K58" s="7">
        <v>12</v>
      </c>
      <c r="L58" s="7">
        <v>14</v>
      </c>
      <c r="M58" s="7">
        <v>11</v>
      </c>
      <c r="N58" s="7">
        <v>12</v>
      </c>
      <c r="O58" s="7">
        <v>14</v>
      </c>
      <c r="P58" s="7">
        <v>3</v>
      </c>
      <c r="Q58" s="7">
        <v>0</v>
      </c>
      <c r="R58" s="7">
        <v>3</v>
      </c>
      <c r="S58" s="7">
        <v>10</v>
      </c>
    </row>
    <row r="59" spans="1:19">
      <c r="A59" s="6">
        <v>46080</v>
      </c>
      <c r="B59" s="7" t="s">
        <v>18</v>
      </c>
      <c r="C59" s="7" t="s">
        <v>41</v>
      </c>
      <c r="D59" s="7">
        <v>84</v>
      </c>
      <c r="E59" s="7">
        <v>44</v>
      </c>
      <c r="F59" s="7">
        <v>40</v>
      </c>
      <c r="G59" s="7">
        <v>82</v>
      </c>
      <c r="H59" s="8">
        <v>2303.4299999999998</v>
      </c>
      <c r="I59" s="8">
        <v>798.57</v>
      </c>
      <c r="J59" s="8">
        <v>604.32000000000005</v>
      </c>
      <c r="K59" s="7">
        <v>21</v>
      </c>
      <c r="L59" s="7">
        <v>23</v>
      </c>
      <c r="M59" s="7">
        <v>20</v>
      </c>
      <c r="N59" s="7">
        <v>16</v>
      </c>
      <c r="O59" s="7">
        <v>32</v>
      </c>
      <c r="P59" s="7">
        <v>7</v>
      </c>
      <c r="Q59" s="7">
        <v>1</v>
      </c>
      <c r="R59" s="7">
        <v>4</v>
      </c>
      <c r="S59" s="7">
        <v>10</v>
      </c>
    </row>
    <row r="60" spans="1:19">
      <c r="A60" s="6">
        <v>46081</v>
      </c>
      <c r="B60" s="7" t="s">
        <v>18</v>
      </c>
      <c r="C60" s="7" t="s">
        <v>42</v>
      </c>
      <c r="D60" s="7">
        <v>77</v>
      </c>
      <c r="E60" s="7">
        <v>47</v>
      </c>
      <c r="F60" s="7">
        <v>30</v>
      </c>
      <c r="G60" s="7">
        <v>72</v>
      </c>
      <c r="H60" s="8">
        <v>2356.1999999999998</v>
      </c>
      <c r="I60" s="8">
        <v>815.21</v>
      </c>
      <c r="J60" s="8">
        <v>528.85</v>
      </c>
      <c r="K60" s="7">
        <v>24</v>
      </c>
      <c r="L60" s="7">
        <v>17</v>
      </c>
      <c r="M60" s="7">
        <v>15</v>
      </c>
      <c r="N60" s="7">
        <v>15</v>
      </c>
      <c r="O60" s="7">
        <v>23</v>
      </c>
      <c r="P60" s="7">
        <v>5</v>
      </c>
      <c r="Q60" s="7">
        <v>1</v>
      </c>
      <c r="R60" s="7">
        <v>5</v>
      </c>
      <c r="S60" s="7">
        <v>15</v>
      </c>
    </row>
    <row r="61" spans="1:19">
      <c r="A61" s="6">
        <v>46082</v>
      </c>
      <c r="B61" s="7" t="s">
        <v>19</v>
      </c>
      <c r="C61" s="7" t="s">
        <v>43</v>
      </c>
      <c r="D61" s="7">
        <v>59</v>
      </c>
      <c r="E61" s="7">
        <v>36</v>
      </c>
      <c r="F61" s="7">
        <v>23</v>
      </c>
      <c r="G61" s="7">
        <v>57</v>
      </c>
      <c r="H61" s="8">
        <v>1571.68</v>
      </c>
      <c r="I61" s="8">
        <v>541.25</v>
      </c>
      <c r="J61" s="8">
        <v>390.31</v>
      </c>
      <c r="K61" s="7">
        <v>15</v>
      </c>
      <c r="L61" s="7">
        <v>14</v>
      </c>
      <c r="M61" s="7">
        <v>14</v>
      </c>
      <c r="N61" s="7">
        <v>12</v>
      </c>
      <c r="O61" s="7">
        <v>19</v>
      </c>
      <c r="P61" s="7">
        <v>6</v>
      </c>
      <c r="Q61" s="7">
        <v>1</v>
      </c>
      <c r="R61" s="7">
        <v>2</v>
      </c>
      <c r="S61" s="7">
        <v>10</v>
      </c>
    </row>
    <row r="62" spans="1:19">
      <c r="A62" s="6">
        <v>46083</v>
      </c>
      <c r="B62" s="7" t="s">
        <v>19</v>
      </c>
      <c r="C62" s="7" t="s">
        <v>44</v>
      </c>
      <c r="D62" s="7">
        <v>40</v>
      </c>
      <c r="E62" s="7">
        <v>19</v>
      </c>
      <c r="F62" s="7">
        <v>21</v>
      </c>
      <c r="G62" s="7">
        <v>40</v>
      </c>
      <c r="H62" s="8">
        <v>1085.8800000000001</v>
      </c>
      <c r="I62" s="8">
        <v>372.78</v>
      </c>
      <c r="J62" s="8">
        <v>272.72000000000003</v>
      </c>
      <c r="K62" s="7">
        <v>12</v>
      </c>
      <c r="L62" s="7">
        <v>9</v>
      </c>
      <c r="M62" s="7">
        <v>9</v>
      </c>
      <c r="N62" s="7">
        <v>9</v>
      </c>
      <c r="O62" s="7">
        <v>16</v>
      </c>
      <c r="P62" s="7">
        <v>3</v>
      </c>
      <c r="Q62" s="7">
        <v>0</v>
      </c>
      <c r="R62" s="7">
        <v>3</v>
      </c>
      <c r="S62" s="7">
        <v>7</v>
      </c>
    </row>
    <row r="63" spans="1:19">
      <c r="A63" s="6">
        <v>46084</v>
      </c>
      <c r="B63" s="7" t="s">
        <v>19</v>
      </c>
      <c r="C63" s="7" t="s">
        <v>45</v>
      </c>
      <c r="D63" s="7">
        <v>43</v>
      </c>
      <c r="E63" s="7">
        <v>23</v>
      </c>
      <c r="F63" s="7">
        <v>20</v>
      </c>
      <c r="G63" s="7">
        <v>43</v>
      </c>
      <c r="H63" s="8">
        <v>1271.3599999999999</v>
      </c>
      <c r="I63" s="8">
        <v>446.31</v>
      </c>
      <c r="J63" s="8">
        <v>317.27</v>
      </c>
      <c r="K63" s="7">
        <v>14</v>
      </c>
      <c r="L63" s="7">
        <v>12</v>
      </c>
      <c r="M63" s="7">
        <v>10</v>
      </c>
      <c r="N63" s="7">
        <v>10</v>
      </c>
      <c r="O63" s="7">
        <v>14</v>
      </c>
      <c r="P63" s="7">
        <v>4</v>
      </c>
      <c r="Q63" s="7">
        <v>0</v>
      </c>
      <c r="R63" s="7">
        <v>2</v>
      </c>
      <c r="S63" s="7">
        <v>8</v>
      </c>
    </row>
    <row r="64" spans="1:19">
      <c r="A64" s="6">
        <v>46085</v>
      </c>
      <c r="B64" s="7" t="s">
        <v>19</v>
      </c>
      <c r="C64" s="7" t="s">
        <v>46</v>
      </c>
      <c r="D64" s="7">
        <v>44</v>
      </c>
      <c r="E64" s="7">
        <v>27</v>
      </c>
      <c r="F64" s="7">
        <v>17</v>
      </c>
      <c r="G64" s="7">
        <v>42</v>
      </c>
      <c r="H64" s="8">
        <v>1206.93</v>
      </c>
      <c r="I64" s="8">
        <v>438.81</v>
      </c>
      <c r="J64" s="8">
        <v>291.89999999999998</v>
      </c>
      <c r="K64" s="7">
        <v>14</v>
      </c>
      <c r="L64" s="7">
        <v>12</v>
      </c>
      <c r="M64" s="7">
        <v>8</v>
      </c>
      <c r="N64" s="7">
        <v>11</v>
      </c>
      <c r="O64" s="7">
        <v>15</v>
      </c>
      <c r="P64" s="7">
        <v>5</v>
      </c>
      <c r="Q64" s="7">
        <v>0</v>
      </c>
      <c r="R64" s="7">
        <v>3</v>
      </c>
      <c r="S64" s="7">
        <v>6</v>
      </c>
    </row>
    <row r="65" spans="1:19">
      <c r="A65" s="6">
        <v>46086</v>
      </c>
      <c r="B65" s="7" t="s">
        <v>19</v>
      </c>
      <c r="C65" s="7" t="s">
        <v>40</v>
      </c>
      <c r="D65" s="7">
        <v>61</v>
      </c>
      <c r="E65" s="7">
        <v>30</v>
      </c>
      <c r="F65" s="7">
        <v>31</v>
      </c>
      <c r="G65" s="7">
        <v>58</v>
      </c>
      <c r="H65" s="8">
        <v>1815.34</v>
      </c>
      <c r="I65" s="8">
        <v>649.9</v>
      </c>
      <c r="J65" s="8">
        <v>460.1</v>
      </c>
      <c r="K65" s="7">
        <v>20</v>
      </c>
      <c r="L65" s="7">
        <v>18</v>
      </c>
      <c r="M65" s="7">
        <v>14</v>
      </c>
      <c r="N65" s="7">
        <v>13</v>
      </c>
      <c r="O65" s="7">
        <v>23</v>
      </c>
      <c r="P65" s="7">
        <v>4</v>
      </c>
      <c r="Q65" s="7">
        <v>1</v>
      </c>
      <c r="R65" s="7">
        <v>3</v>
      </c>
      <c r="S65" s="7">
        <v>9</v>
      </c>
    </row>
    <row r="66" spans="1:19">
      <c r="A66" s="6">
        <v>46087</v>
      </c>
      <c r="B66" s="7" t="s">
        <v>19</v>
      </c>
      <c r="C66" s="7" t="s">
        <v>41</v>
      </c>
      <c r="D66" s="7">
        <v>67</v>
      </c>
      <c r="E66" s="7">
        <v>34</v>
      </c>
      <c r="F66" s="7">
        <v>33</v>
      </c>
      <c r="G66" s="7">
        <v>69</v>
      </c>
      <c r="H66" s="8">
        <v>1942.36</v>
      </c>
      <c r="I66" s="8">
        <v>634.54999999999995</v>
      </c>
      <c r="J66" s="8">
        <v>410.81</v>
      </c>
      <c r="K66" s="7">
        <v>22</v>
      </c>
      <c r="L66" s="7">
        <v>19</v>
      </c>
      <c r="M66" s="7">
        <v>17</v>
      </c>
      <c r="N66" s="7">
        <v>14</v>
      </c>
      <c r="O66" s="7">
        <v>20</v>
      </c>
      <c r="P66" s="7">
        <v>8</v>
      </c>
      <c r="Q66" s="7">
        <v>1</v>
      </c>
      <c r="R66" s="7">
        <v>5</v>
      </c>
      <c r="S66" s="7">
        <v>9</v>
      </c>
    </row>
    <row r="67" spans="1:19">
      <c r="A67" s="6">
        <v>46088</v>
      </c>
      <c r="B67" s="7" t="s">
        <v>19</v>
      </c>
      <c r="C67" s="7" t="s">
        <v>42</v>
      </c>
      <c r="D67" s="7">
        <v>81</v>
      </c>
      <c r="E67" s="7">
        <v>50</v>
      </c>
      <c r="F67" s="7">
        <v>31</v>
      </c>
      <c r="G67" s="7">
        <v>83</v>
      </c>
      <c r="H67" s="8">
        <v>2434.0700000000002</v>
      </c>
      <c r="I67" s="8">
        <v>826.69</v>
      </c>
      <c r="J67" s="8">
        <v>525.35</v>
      </c>
      <c r="K67" s="7">
        <v>27</v>
      </c>
      <c r="L67" s="7">
        <v>19</v>
      </c>
      <c r="M67" s="7">
        <v>18</v>
      </c>
      <c r="N67" s="7">
        <v>20</v>
      </c>
      <c r="O67" s="7">
        <v>32</v>
      </c>
      <c r="P67" s="7">
        <v>10</v>
      </c>
      <c r="Q67" s="7">
        <v>1</v>
      </c>
      <c r="R67" s="7">
        <v>4</v>
      </c>
      <c r="S67" s="7">
        <v>16</v>
      </c>
    </row>
    <row r="68" spans="1:19">
      <c r="A68" s="6">
        <v>46089</v>
      </c>
      <c r="B68" s="7" t="s">
        <v>19</v>
      </c>
      <c r="C68" s="7" t="s">
        <v>43</v>
      </c>
      <c r="D68" s="7">
        <v>60</v>
      </c>
      <c r="E68" s="7">
        <v>34</v>
      </c>
      <c r="F68" s="7">
        <v>26</v>
      </c>
      <c r="G68" s="7">
        <v>58</v>
      </c>
      <c r="H68" s="8">
        <v>1810.13</v>
      </c>
      <c r="I68" s="8">
        <v>573.15</v>
      </c>
      <c r="J68" s="8">
        <v>420.37</v>
      </c>
      <c r="K68" s="7">
        <v>15</v>
      </c>
      <c r="L68" s="7">
        <v>18</v>
      </c>
      <c r="M68" s="7">
        <v>14</v>
      </c>
      <c r="N68" s="7">
        <v>11</v>
      </c>
      <c r="O68" s="7">
        <v>22</v>
      </c>
      <c r="P68" s="7">
        <v>6</v>
      </c>
      <c r="Q68" s="7">
        <v>1</v>
      </c>
      <c r="R68" s="7">
        <v>4</v>
      </c>
      <c r="S68" s="7">
        <v>8</v>
      </c>
    </row>
    <row r="69" spans="1:19">
      <c r="A69" s="6">
        <v>46090</v>
      </c>
      <c r="B69" s="7" t="s">
        <v>19</v>
      </c>
      <c r="C69" s="7" t="s">
        <v>44</v>
      </c>
      <c r="D69" s="7">
        <v>37</v>
      </c>
      <c r="E69" s="7">
        <v>23</v>
      </c>
      <c r="F69" s="7">
        <v>14</v>
      </c>
      <c r="G69" s="7">
        <v>35</v>
      </c>
      <c r="H69" s="8">
        <v>1070.5899999999999</v>
      </c>
      <c r="I69" s="8">
        <v>361.58</v>
      </c>
      <c r="J69" s="8">
        <v>267.39999999999998</v>
      </c>
      <c r="K69" s="7">
        <v>10</v>
      </c>
      <c r="L69" s="7">
        <v>10</v>
      </c>
      <c r="M69" s="7">
        <v>6</v>
      </c>
      <c r="N69" s="7">
        <v>9</v>
      </c>
      <c r="O69" s="7">
        <v>11</v>
      </c>
      <c r="P69" s="7">
        <v>3</v>
      </c>
      <c r="Q69" s="7">
        <v>0</v>
      </c>
      <c r="R69" s="7">
        <v>2</v>
      </c>
      <c r="S69" s="7">
        <v>4</v>
      </c>
    </row>
    <row r="70" spans="1:19">
      <c r="A70" s="6">
        <v>46091</v>
      </c>
      <c r="B70" s="7" t="s">
        <v>19</v>
      </c>
      <c r="C70" s="7" t="s">
        <v>45</v>
      </c>
      <c r="D70" s="7">
        <v>44</v>
      </c>
      <c r="E70" s="7">
        <v>22</v>
      </c>
      <c r="F70" s="7">
        <v>22</v>
      </c>
      <c r="G70" s="7">
        <v>42</v>
      </c>
      <c r="H70" s="8">
        <v>1108.18</v>
      </c>
      <c r="I70" s="8">
        <v>398.97</v>
      </c>
      <c r="J70" s="8">
        <v>232.91</v>
      </c>
      <c r="K70" s="7">
        <v>13</v>
      </c>
      <c r="L70" s="7">
        <v>10</v>
      </c>
      <c r="M70" s="7">
        <v>8</v>
      </c>
      <c r="N70" s="7">
        <v>9</v>
      </c>
      <c r="O70" s="7">
        <v>13</v>
      </c>
      <c r="P70" s="7">
        <v>5</v>
      </c>
      <c r="Q70" s="7">
        <v>1</v>
      </c>
      <c r="R70" s="7">
        <v>1</v>
      </c>
      <c r="S70" s="7">
        <v>4</v>
      </c>
    </row>
    <row r="71" spans="1:19">
      <c r="A71" s="6">
        <v>46092</v>
      </c>
      <c r="B71" s="7" t="s">
        <v>19</v>
      </c>
      <c r="C71" s="7" t="s">
        <v>46</v>
      </c>
      <c r="D71" s="7">
        <v>49</v>
      </c>
      <c r="E71" s="7">
        <v>29</v>
      </c>
      <c r="F71" s="7">
        <v>20</v>
      </c>
      <c r="G71" s="7">
        <v>47</v>
      </c>
      <c r="H71" s="8">
        <v>1247.6400000000001</v>
      </c>
      <c r="I71" s="8">
        <v>396.28</v>
      </c>
      <c r="J71" s="8">
        <v>317.52999999999997</v>
      </c>
      <c r="K71" s="7">
        <v>13</v>
      </c>
      <c r="L71" s="7">
        <v>13</v>
      </c>
      <c r="M71" s="7">
        <v>10</v>
      </c>
      <c r="N71" s="7">
        <v>12</v>
      </c>
      <c r="O71" s="7">
        <v>17</v>
      </c>
      <c r="P71" s="7">
        <v>3</v>
      </c>
      <c r="Q71" s="7">
        <v>0</v>
      </c>
      <c r="R71" s="7">
        <v>2</v>
      </c>
      <c r="S71" s="7">
        <v>10</v>
      </c>
    </row>
    <row r="72" spans="1:19">
      <c r="A72" s="6">
        <v>46093</v>
      </c>
      <c r="B72" s="7" t="s">
        <v>19</v>
      </c>
      <c r="C72" s="7" t="s">
        <v>40</v>
      </c>
      <c r="D72" s="7">
        <v>53</v>
      </c>
      <c r="E72" s="7">
        <v>29</v>
      </c>
      <c r="F72" s="7">
        <v>24</v>
      </c>
      <c r="G72" s="7">
        <v>52</v>
      </c>
      <c r="H72" s="8">
        <v>1626.78</v>
      </c>
      <c r="I72" s="8">
        <v>517.38</v>
      </c>
      <c r="J72" s="8">
        <v>388.38</v>
      </c>
      <c r="K72" s="7">
        <v>13</v>
      </c>
      <c r="L72" s="7">
        <v>15</v>
      </c>
      <c r="M72" s="7">
        <v>11</v>
      </c>
      <c r="N72" s="7">
        <v>14</v>
      </c>
      <c r="O72" s="7">
        <v>15</v>
      </c>
      <c r="P72" s="7">
        <v>3</v>
      </c>
      <c r="Q72" s="7">
        <v>0</v>
      </c>
      <c r="R72" s="7">
        <v>3</v>
      </c>
      <c r="S72" s="7">
        <v>6</v>
      </c>
    </row>
    <row r="73" spans="1:19">
      <c r="A73" s="6">
        <v>46094</v>
      </c>
      <c r="B73" s="7" t="s">
        <v>19</v>
      </c>
      <c r="C73" s="7" t="s">
        <v>41</v>
      </c>
      <c r="D73" s="7">
        <v>54</v>
      </c>
      <c r="E73" s="7">
        <v>29</v>
      </c>
      <c r="F73" s="7">
        <v>25</v>
      </c>
      <c r="G73" s="7">
        <v>53</v>
      </c>
      <c r="H73" s="8">
        <v>1560.91</v>
      </c>
      <c r="I73" s="8">
        <v>569.30999999999995</v>
      </c>
      <c r="J73" s="8">
        <v>377.48</v>
      </c>
      <c r="K73" s="7">
        <v>14</v>
      </c>
      <c r="L73" s="7">
        <v>15</v>
      </c>
      <c r="M73" s="7">
        <v>10</v>
      </c>
      <c r="N73" s="7">
        <v>13</v>
      </c>
      <c r="O73" s="7">
        <v>21</v>
      </c>
      <c r="P73" s="7">
        <v>6</v>
      </c>
      <c r="Q73" s="7">
        <v>1</v>
      </c>
      <c r="R73" s="7">
        <v>3</v>
      </c>
      <c r="S73" s="7">
        <v>10</v>
      </c>
    </row>
    <row r="74" spans="1:19">
      <c r="A74" s="6">
        <v>46095</v>
      </c>
      <c r="B74" s="7" t="s">
        <v>19</v>
      </c>
      <c r="C74" s="7" t="s">
        <v>42</v>
      </c>
      <c r="D74" s="7">
        <v>85</v>
      </c>
      <c r="E74" s="7">
        <v>50</v>
      </c>
      <c r="F74" s="7">
        <v>35</v>
      </c>
      <c r="G74" s="7">
        <v>83</v>
      </c>
      <c r="H74" s="8">
        <v>2489.66</v>
      </c>
      <c r="I74" s="8">
        <v>796.08</v>
      </c>
      <c r="J74" s="8">
        <v>586.58000000000004</v>
      </c>
      <c r="K74" s="7">
        <v>24</v>
      </c>
      <c r="L74" s="7">
        <v>21</v>
      </c>
      <c r="M74" s="7">
        <v>16</v>
      </c>
      <c r="N74" s="7">
        <v>22</v>
      </c>
      <c r="O74" s="7">
        <v>24</v>
      </c>
      <c r="P74" s="7">
        <v>10</v>
      </c>
      <c r="Q74" s="7">
        <v>1</v>
      </c>
      <c r="R74" s="7">
        <v>3</v>
      </c>
      <c r="S74" s="7">
        <v>9</v>
      </c>
    </row>
    <row r="75" spans="1:19">
      <c r="A75" s="6">
        <v>46096</v>
      </c>
      <c r="B75" s="7" t="s">
        <v>19</v>
      </c>
      <c r="C75" s="7" t="s">
        <v>43</v>
      </c>
      <c r="D75" s="7">
        <v>64</v>
      </c>
      <c r="E75" s="7">
        <v>33</v>
      </c>
      <c r="F75" s="7">
        <v>31</v>
      </c>
      <c r="G75" s="7">
        <v>63</v>
      </c>
      <c r="H75" s="8">
        <v>1828.18</v>
      </c>
      <c r="I75" s="8">
        <v>627.21</v>
      </c>
      <c r="J75" s="8">
        <v>420.08</v>
      </c>
      <c r="K75" s="7">
        <v>14</v>
      </c>
      <c r="L75" s="7">
        <v>16</v>
      </c>
      <c r="M75" s="7">
        <v>14</v>
      </c>
      <c r="N75" s="7">
        <v>16</v>
      </c>
      <c r="O75" s="7">
        <v>25</v>
      </c>
      <c r="P75" s="7">
        <v>7</v>
      </c>
      <c r="Q75" s="7">
        <v>1</v>
      </c>
      <c r="R75" s="7">
        <v>5</v>
      </c>
      <c r="S75" s="7">
        <v>11</v>
      </c>
    </row>
    <row r="76" spans="1:19">
      <c r="A76" s="6">
        <v>46097</v>
      </c>
      <c r="B76" s="7" t="s">
        <v>19</v>
      </c>
      <c r="C76" s="7" t="s">
        <v>44</v>
      </c>
      <c r="D76" s="7">
        <v>33</v>
      </c>
      <c r="E76" s="7">
        <v>18</v>
      </c>
      <c r="F76" s="7">
        <v>15</v>
      </c>
      <c r="G76" s="7">
        <v>31</v>
      </c>
      <c r="H76" s="8">
        <v>810.63</v>
      </c>
      <c r="I76" s="8">
        <v>289.61</v>
      </c>
      <c r="J76" s="8">
        <v>188.11</v>
      </c>
      <c r="K76" s="7">
        <v>10</v>
      </c>
      <c r="L76" s="7">
        <v>8</v>
      </c>
      <c r="M76" s="7">
        <v>7</v>
      </c>
      <c r="N76" s="7">
        <v>8</v>
      </c>
      <c r="O76" s="7">
        <v>13</v>
      </c>
      <c r="P76" s="7">
        <v>4</v>
      </c>
      <c r="Q76" s="7">
        <v>0</v>
      </c>
      <c r="R76" s="7">
        <v>2</v>
      </c>
      <c r="S76" s="7">
        <v>5</v>
      </c>
    </row>
    <row r="77" spans="1:19">
      <c r="A77" s="6">
        <v>46098</v>
      </c>
      <c r="B77" s="7" t="s">
        <v>19</v>
      </c>
      <c r="C77" s="7" t="s">
        <v>45</v>
      </c>
      <c r="D77" s="7">
        <v>41</v>
      </c>
      <c r="E77" s="7">
        <v>20</v>
      </c>
      <c r="F77" s="7">
        <v>21</v>
      </c>
      <c r="G77" s="7">
        <v>42</v>
      </c>
      <c r="H77" s="8">
        <v>1138.4000000000001</v>
      </c>
      <c r="I77" s="8">
        <v>368.87</v>
      </c>
      <c r="J77" s="8">
        <v>287.06</v>
      </c>
      <c r="K77" s="7">
        <v>10</v>
      </c>
      <c r="L77" s="7">
        <v>11</v>
      </c>
      <c r="M77" s="7">
        <v>8</v>
      </c>
      <c r="N77" s="7">
        <v>11</v>
      </c>
      <c r="O77" s="7">
        <v>15</v>
      </c>
      <c r="P77" s="7">
        <v>4</v>
      </c>
      <c r="Q77" s="7">
        <v>0</v>
      </c>
      <c r="R77" s="7">
        <v>1</v>
      </c>
      <c r="S77" s="7">
        <v>7</v>
      </c>
    </row>
    <row r="78" spans="1:19">
      <c r="A78" s="6">
        <v>46099</v>
      </c>
      <c r="B78" s="7" t="s">
        <v>19</v>
      </c>
      <c r="C78" s="7" t="s">
        <v>46</v>
      </c>
      <c r="D78" s="7">
        <v>45</v>
      </c>
      <c r="E78" s="7">
        <v>26</v>
      </c>
      <c r="F78" s="7">
        <v>19</v>
      </c>
      <c r="G78" s="7">
        <v>43</v>
      </c>
      <c r="H78" s="8">
        <v>1191.97</v>
      </c>
      <c r="I78" s="8">
        <v>418.48</v>
      </c>
      <c r="J78" s="8">
        <v>305.87</v>
      </c>
      <c r="K78" s="7">
        <v>12</v>
      </c>
      <c r="L78" s="7">
        <v>10</v>
      </c>
      <c r="M78" s="7">
        <v>8</v>
      </c>
      <c r="N78" s="7">
        <v>9</v>
      </c>
      <c r="O78" s="7">
        <v>16</v>
      </c>
      <c r="P78" s="7">
        <v>5</v>
      </c>
      <c r="Q78" s="7">
        <v>1</v>
      </c>
      <c r="R78" s="7">
        <v>2</v>
      </c>
      <c r="S78" s="7">
        <v>8</v>
      </c>
    </row>
    <row r="79" spans="1:19">
      <c r="A79" s="6">
        <v>46100</v>
      </c>
      <c r="B79" s="7" t="s">
        <v>19</v>
      </c>
      <c r="C79" s="7" t="s">
        <v>40</v>
      </c>
      <c r="D79" s="7">
        <v>46</v>
      </c>
      <c r="E79" s="7">
        <v>26</v>
      </c>
      <c r="F79" s="7">
        <v>20</v>
      </c>
      <c r="G79" s="7">
        <v>44</v>
      </c>
      <c r="H79" s="8">
        <v>1321.3</v>
      </c>
      <c r="I79" s="8">
        <v>423.73</v>
      </c>
      <c r="J79" s="8">
        <v>311.56</v>
      </c>
      <c r="K79" s="7">
        <v>11</v>
      </c>
      <c r="L79" s="7">
        <v>12</v>
      </c>
      <c r="M79" s="7">
        <v>9</v>
      </c>
      <c r="N79" s="7">
        <v>11</v>
      </c>
      <c r="O79" s="7">
        <v>13</v>
      </c>
      <c r="P79" s="7">
        <v>4</v>
      </c>
      <c r="Q79" s="7">
        <v>0</v>
      </c>
      <c r="R79" s="7">
        <v>3</v>
      </c>
      <c r="S79" s="7">
        <v>4</v>
      </c>
    </row>
    <row r="80" spans="1:19">
      <c r="A80" s="6">
        <v>46101</v>
      </c>
      <c r="B80" s="7" t="s">
        <v>19</v>
      </c>
      <c r="C80" s="7" t="s">
        <v>41</v>
      </c>
      <c r="D80" s="7">
        <v>71</v>
      </c>
      <c r="E80" s="7">
        <v>43</v>
      </c>
      <c r="F80" s="7">
        <v>28</v>
      </c>
      <c r="G80" s="7">
        <v>68</v>
      </c>
      <c r="H80" s="8">
        <v>1873.15</v>
      </c>
      <c r="I80" s="8">
        <v>660.01</v>
      </c>
      <c r="J80" s="8">
        <v>413.11</v>
      </c>
      <c r="K80" s="7">
        <v>17</v>
      </c>
      <c r="L80" s="7">
        <v>19</v>
      </c>
      <c r="M80" s="7">
        <v>15</v>
      </c>
      <c r="N80" s="7">
        <v>17</v>
      </c>
      <c r="O80" s="7">
        <v>27</v>
      </c>
      <c r="P80" s="7">
        <v>5</v>
      </c>
      <c r="Q80" s="7">
        <v>0</v>
      </c>
      <c r="R80" s="7">
        <v>5</v>
      </c>
      <c r="S80" s="7">
        <v>7</v>
      </c>
    </row>
    <row r="81" spans="1:19">
      <c r="A81" s="6">
        <v>46102</v>
      </c>
      <c r="B81" s="7" t="s">
        <v>19</v>
      </c>
      <c r="C81" s="7" t="s">
        <v>42</v>
      </c>
      <c r="D81" s="7">
        <v>98</v>
      </c>
      <c r="E81" s="7">
        <v>48</v>
      </c>
      <c r="F81" s="7">
        <v>50</v>
      </c>
      <c r="G81" s="7">
        <v>100</v>
      </c>
      <c r="H81" s="8">
        <v>3095.46</v>
      </c>
      <c r="I81" s="8">
        <v>1063.82</v>
      </c>
      <c r="J81" s="8">
        <v>781.82</v>
      </c>
      <c r="K81" s="7">
        <v>26</v>
      </c>
      <c r="L81" s="7">
        <v>23</v>
      </c>
      <c r="M81" s="7">
        <v>18</v>
      </c>
      <c r="N81" s="7">
        <v>22</v>
      </c>
      <c r="O81" s="7">
        <v>39</v>
      </c>
      <c r="P81" s="7">
        <v>10</v>
      </c>
      <c r="Q81" s="7">
        <v>1</v>
      </c>
      <c r="R81" s="7">
        <v>7</v>
      </c>
      <c r="S81" s="7">
        <v>21</v>
      </c>
    </row>
    <row r="82" spans="1:19">
      <c r="A82" s="6">
        <v>46103</v>
      </c>
      <c r="B82" s="7" t="s">
        <v>19</v>
      </c>
      <c r="C82" s="7" t="s">
        <v>43</v>
      </c>
      <c r="D82" s="7">
        <v>65</v>
      </c>
      <c r="E82" s="7">
        <v>35</v>
      </c>
      <c r="F82" s="7">
        <v>30</v>
      </c>
      <c r="G82" s="7">
        <v>64</v>
      </c>
      <c r="H82" s="8">
        <v>1783.97</v>
      </c>
      <c r="I82" s="8">
        <v>589.63</v>
      </c>
      <c r="J82" s="8">
        <v>410.97</v>
      </c>
      <c r="K82" s="7">
        <v>16</v>
      </c>
      <c r="L82" s="7">
        <v>15</v>
      </c>
      <c r="M82" s="7">
        <v>14</v>
      </c>
      <c r="N82" s="7">
        <v>13</v>
      </c>
      <c r="O82" s="7">
        <v>22</v>
      </c>
      <c r="P82" s="7">
        <v>8</v>
      </c>
      <c r="Q82" s="7">
        <v>1</v>
      </c>
      <c r="R82" s="7">
        <v>3</v>
      </c>
      <c r="S82" s="7">
        <v>12</v>
      </c>
    </row>
    <row r="83" spans="1:19">
      <c r="A83" s="6">
        <v>46104</v>
      </c>
      <c r="B83" s="7" t="s">
        <v>19</v>
      </c>
      <c r="C83" s="7" t="s">
        <v>44</v>
      </c>
      <c r="D83" s="7">
        <v>32</v>
      </c>
      <c r="E83" s="7">
        <v>16</v>
      </c>
      <c r="F83" s="7">
        <v>16</v>
      </c>
      <c r="G83" s="7">
        <v>31</v>
      </c>
      <c r="H83" s="8">
        <v>817.74</v>
      </c>
      <c r="I83" s="8">
        <v>265.64999999999998</v>
      </c>
      <c r="J83" s="8">
        <v>201.28</v>
      </c>
      <c r="K83" s="7">
        <v>9</v>
      </c>
      <c r="L83" s="7">
        <v>9</v>
      </c>
      <c r="M83" s="7">
        <v>6</v>
      </c>
      <c r="N83" s="7">
        <v>8</v>
      </c>
      <c r="O83" s="7">
        <v>11</v>
      </c>
      <c r="P83" s="7">
        <v>4</v>
      </c>
      <c r="Q83" s="7">
        <v>1</v>
      </c>
      <c r="R83" s="7">
        <v>2</v>
      </c>
      <c r="S83" s="7">
        <v>5</v>
      </c>
    </row>
    <row r="84" spans="1:19">
      <c r="A84" s="6">
        <v>46105</v>
      </c>
      <c r="B84" s="7" t="s">
        <v>19</v>
      </c>
      <c r="C84" s="7" t="s">
        <v>45</v>
      </c>
      <c r="D84" s="7">
        <v>35</v>
      </c>
      <c r="E84" s="7">
        <v>19</v>
      </c>
      <c r="F84" s="7">
        <v>16</v>
      </c>
      <c r="G84" s="7">
        <v>36</v>
      </c>
      <c r="H84" s="8">
        <v>1053.48</v>
      </c>
      <c r="I84" s="8">
        <v>339.8</v>
      </c>
      <c r="J84" s="8">
        <v>225.55</v>
      </c>
      <c r="K84" s="7">
        <v>9</v>
      </c>
      <c r="L84" s="7">
        <v>9</v>
      </c>
      <c r="M84" s="7">
        <v>7</v>
      </c>
      <c r="N84" s="7">
        <v>7</v>
      </c>
      <c r="O84" s="7">
        <v>13</v>
      </c>
      <c r="P84" s="7">
        <v>3</v>
      </c>
      <c r="Q84" s="7">
        <v>0</v>
      </c>
      <c r="R84" s="7">
        <v>2</v>
      </c>
      <c r="S84" s="7">
        <v>4</v>
      </c>
    </row>
    <row r="85" spans="1:19">
      <c r="A85" s="6">
        <v>46106</v>
      </c>
      <c r="B85" s="7" t="s">
        <v>19</v>
      </c>
      <c r="C85" s="7" t="s">
        <v>46</v>
      </c>
      <c r="D85" s="7">
        <v>41</v>
      </c>
      <c r="E85" s="7">
        <v>26</v>
      </c>
      <c r="F85" s="7">
        <v>15</v>
      </c>
      <c r="G85" s="7">
        <v>42</v>
      </c>
      <c r="H85" s="8">
        <v>1286.53</v>
      </c>
      <c r="I85" s="8">
        <v>444.82</v>
      </c>
      <c r="J85" s="8">
        <v>309.31</v>
      </c>
      <c r="K85" s="7">
        <v>11</v>
      </c>
      <c r="L85" s="7">
        <v>11</v>
      </c>
      <c r="M85" s="7">
        <v>10</v>
      </c>
      <c r="N85" s="7">
        <v>11</v>
      </c>
      <c r="O85" s="7">
        <v>14</v>
      </c>
      <c r="P85" s="7">
        <v>5</v>
      </c>
      <c r="Q85" s="7">
        <v>1</v>
      </c>
      <c r="R85" s="7">
        <v>2</v>
      </c>
      <c r="S85" s="7">
        <v>6</v>
      </c>
    </row>
    <row r="86" spans="1:19">
      <c r="A86" s="6">
        <v>46107</v>
      </c>
      <c r="B86" s="7" t="s">
        <v>19</v>
      </c>
      <c r="C86" s="7" t="s">
        <v>40</v>
      </c>
      <c r="D86" s="7">
        <v>51</v>
      </c>
      <c r="E86" s="7">
        <v>32</v>
      </c>
      <c r="F86" s="7">
        <v>19</v>
      </c>
      <c r="G86" s="7">
        <v>52</v>
      </c>
      <c r="H86" s="8">
        <v>1433.15</v>
      </c>
      <c r="I86" s="8">
        <v>502.63</v>
      </c>
      <c r="J86" s="8">
        <v>344.35</v>
      </c>
      <c r="K86" s="7">
        <v>12</v>
      </c>
      <c r="L86" s="7">
        <v>13</v>
      </c>
      <c r="M86" s="7">
        <v>11</v>
      </c>
      <c r="N86" s="7">
        <v>12</v>
      </c>
      <c r="O86" s="7">
        <v>18</v>
      </c>
      <c r="P86" s="7">
        <v>4</v>
      </c>
      <c r="Q86" s="7">
        <v>0</v>
      </c>
      <c r="R86" s="7">
        <v>2</v>
      </c>
      <c r="S86" s="7">
        <v>7</v>
      </c>
    </row>
    <row r="87" spans="1:19">
      <c r="A87" s="6">
        <v>46108</v>
      </c>
      <c r="B87" s="7" t="s">
        <v>19</v>
      </c>
      <c r="C87" s="7" t="s">
        <v>41</v>
      </c>
      <c r="D87" s="7">
        <v>71</v>
      </c>
      <c r="E87" s="7">
        <v>42</v>
      </c>
      <c r="F87" s="7">
        <v>29</v>
      </c>
      <c r="G87" s="7">
        <v>70</v>
      </c>
      <c r="H87" s="8">
        <v>2256.48</v>
      </c>
      <c r="I87" s="8">
        <v>783.82</v>
      </c>
      <c r="J87" s="8">
        <v>482.78</v>
      </c>
      <c r="K87" s="7">
        <v>15</v>
      </c>
      <c r="L87" s="7">
        <v>20</v>
      </c>
      <c r="M87" s="7">
        <v>14</v>
      </c>
      <c r="N87" s="7">
        <v>17</v>
      </c>
      <c r="O87" s="7">
        <v>26</v>
      </c>
      <c r="P87" s="7">
        <v>9</v>
      </c>
      <c r="Q87" s="7">
        <v>1</v>
      </c>
      <c r="R87" s="7">
        <v>5</v>
      </c>
      <c r="S87" s="7">
        <v>10</v>
      </c>
    </row>
    <row r="88" spans="1:19">
      <c r="A88" s="6">
        <v>46109</v>
      </c>
      <c r="B88" s="7" t="s">
        <v>19</v>
      </c>
      <c r="C88" s="7" t="s">
        <v>42</v>
      </c>
      <c r="D88" s="7">
        <v>97</v>
      </c>
      <c r="E88" s="7">
        <v>47</v>
      </c>
      <c r="F88" s="7">
        <v>50</v>
      </c>
      <c r="G88" s="7">
        <v>97</v>
      </c>
      <c r="H88" s="8">
        <v>2895.62</v>
      </c>
      <c r="I88" s="8">
        <v>998.27</v>
      </c>
      <c r="J88" s="8">
        <v>771.05</v>
      </c>
      <c r="K88" s="7">
        <v>24</v>
      </c>
      <c r="L88" s="7">
        <v>25</v>
      </c>
      <c r="M88" s="7">
        <v>23</v>
      </c>
      <c r="N88" s="7">
        <v>25</v>
      </c>
      <c r="O88" s="7">
        <v>36</v>
      </c>
      <c r="P88" s="7">
        <v>11</v>
      </c>
      <c r="Q88" s="7">
        <v>1</v>
      </c>
      <c r="R88" s="7">
        <v>6</v>
      </c>
      <c r="S88" s="7">
        <v>18</v>
      </c>
    </row>
    <row r="89" spans="1:19">
      <c r="A89" s="6">
        <v>46110</v>
      </c>
      <c r="B89" s="7" t="s">
        <v>19</v>
      </c>
      <c r="C89" s="7" t="s">
        <v>43</v>
      </c>
      <c r="D89" s="7">
        <v>66</v>
      </c>
      <c r="E89" s="7">
        <v>35</v>
      </c>
      <c r="F89" s="7">
        <v>31</v>
      </c>
      <c r="G89" s="7">
        <v>64</v>
      </c>
      <c r="H89" s="8">
        <v>1770.94</v>
      </c>
      <c r="I89" s="8">
        <v>589.95000000000005</v>
      </c>
      <c r="J89" s="8">
        <v>391.05</v>
      </c>
      <c r="K89" s="7">
        <v>15</v>
      </c>
      <c r="L89" s="7">
        <v>20</v>
      </c>
      <c r="M89" s="7">
        <v>14</v>
      </c>
      <c r="N89" s="7">
        <v>13</v>
      </c>
      <c r="O89" s="7">
        <v>19</v>
      </c>
      <c r="P89" s="7">
        <v>4</v>
      </c>
      <c r="Q89" s="7">
        <v>1</v>
      </c>
      <c r="R89" s="7">
        <v>4</v>
      </c>
      <c r="S89" s="7">
        <v>7</v>
      </c>
    </row>
    <row r="90" spans="1:19">
      <c r="A90" s="6">
        <v>46111</v>
      </c>
      <c r="B90" s="7" t="s">
        <v>19</v>
      </c>
      <c r="C90" s="7" t="s">
        <v>44</v>
      </c>
      <c r="D90" s="7">
        <v>39</v>
      </c>
      <c r="E90" s="7">
        <v>25</v>
      </c>
      <c r="F90" s="7">
        <v>14</v>
      </c>
      <c r="G90" s="7">
        <v>38</v>
      </c>
      <c r="H90" s="8">
        <v>1143.72</v>
      </c>
      <c r="I90" s="8">
        <v>367.77</v>
      </c>
      <c r="J90" s="8">
        <v>266.02999999999997</v>
      </c>
      <c r="K90" s="7">
        <v>8</v>
      </c>
      <c r="L90" s="7">
        <v>11</v>
      </c>
      <c r="M90" s="7">
        <v>9</v>
      </c>
      <c r="N90" s="7">
        <v>10</v>
      </c>
      <c r="O90" s="7">
        <v>12</v>
      </c>
      <c r="P90" s="7">
        <v>4</v>
      </c>
      <c r="Q90" s="7">
        <v>0</v>
      </c>
      <c r="R90" s="7">
        <v>2</v>
      </c>
      <c r="S90" s="7">
        <v>7</v>
      </c>
    </row>
    <row r="91" spans="1:19">
      <c r="A91" s="6">
        <v>46112</v>
      </c>
      <c r="B91" s="7" t="s">
        <v>19</v>
      </c>
      <c r="C91" s="7" t="s">
        <v>45</v>
      </c>
      <c r="D91" s="7">
        <v>32</v>
      </c>
      <c r="E91" s="7">
        <v>18</v>
      </c>
      <c r="F91" s="7">
        <v>14</v>
      </c>
      <c r="G91" s="7">
        <v>31</v>
      </c>
      <c r="H91" s="8">
        <v>929.73</v>
      </c>
      <c r="I91" s="8">
        <v>313.73</v>
      </c>
      <c r="J91" s="8">
        <v>225.03</v>
      </c>
      <c r="K91" s="7">
        <v>8</v>
      </c>
      <c r="L91" s="7">
        <v>9</v>
      </c>
      <c r="M91" s="7">
        <v>7</v>
      </c>
      <c r="N91" s="7">
        <v>8</v>
      </c>
      <c r="O91" s="7">
        <v>10</v>
      </c>
      <c r="P91" s="7">
        <v>4</v>
      </c>
      <c r="Q91" s="7">
        <v>0</v>
      </c>
      <c r="R91" s="7">
        <v>2</v>
      </c>
      <c r="S91" s="7">
        <v>5</v>
      </c>
    </row>
    <row r="92" spans="1:19">
      <c r="A92" s="6">
        <v>46113</v>
      </c>
      <c r="B92" s="7" t="s">
        <v>20</v>
      </c>
      <c r="C92" s="7" t="s">
        <v>46</v>
      </c>
      <c r="D92" s="7">
        <v>39</v>
      </c>
      <c r="E92" s="7">
        <v>19</v>
      </c>
      <c r="F92" s="7">
        <v>20</v>
      </c>
      <c r="G92" s="7">
        <v>39</v>
      </c>
      <c r="H92" s="8">
        <v>1181.99</v>
      </c>
      <c r="I92" s="8">
        <v>380.51</v>
      </c>
      <c r="J92" s="8">
        <v>265.95</v>
      </c>
      <c r="K92" s="7">
        <v>11</v>
      </c>
      <c r="L92" s="7">
        <v>12</v>
      </c>
      <c r="M92" s="7">
        <v>9</v>
      </c>
      <c r="N92" s="7">
        <v>8</v>
      </c>
      <c r="O92" s="7">
        <v>16</v>
      </c>
      <c r="P92" s="7">
        <v>5</v>
      </c>
      <c r="Q92" s="7">
        <v>0</v>
      </c>
      <c r="R92" s="7">
        <v>2</v>
      </c>
      <c r="S92" s="7">
        <v>7</v>
      </c>
    </row>
    <row r="93" spans="1:19">
      <c r="A93" s="6">
        <v>46114</v>
      </c>
      <c r="B93" s="7" t="s">
        <v>20</v>
      </c>
      <c r="C93" s="7" t="s">
        <v>40</v>
      </c>
      <c r="D93" s="7">
        <v>54</v>
      </c>
      <c r="E93" s="7">
        <v>27</v>
      </c>
      <c r="F93" s="7">
        <v>27</v>
      </c>
      <c r="G93" s="7">
        <v>51</v>
      </c>
      <c r="H93" s="8">
        <v>1434.37</v>
      </c>
      <c r="I93" s="8">
        <v>519.70000000000005</v>
      </c>
      <c r="J93" s="8">
        <v>320.33</v>
      </c>
      <c r="K93" s="7">
        <v>13</v>
      </c>
      <c r="L93" s="7">
        <v>13</v>
      </c>
      <c r="M93" s="7">
        <v>9</v>
      </c>
      <c r="N93" s="7">
        <v>10</v>
      </c>
      <c r="O93" s="7">
        <v>18</v>
      </c>
      <c r="P93" s="7">
        <v>4</v>
      </c>
      <c r="Q93" s="7">
        <v>0</v>
      </c>
      <c r="R93" s="7">
        <v>4</v>
      </c>
      <c r="S93" s="7">
        <v>7</v>
      </c>
    </row>
    <row r="94" spans="1:19">
      <c r="A94" s="6">
        <v>46115</v>
      </c>
      <c r="B94" s="7" t="s">
        <v>20</v>
      </c>
      <c r="C94" s="7" t="s">
        <v>41</v>
      </c>
      <c r="D94" s="7">
        <v>83</v>
      </c>
      <c r="E94" s="7">
        <v>44</v>
      </c>
      <c r="F94" s="7">
        <v>39</v>
      </c>
      <c r="G94" s="7">
        <v>84</v>
      </c>
      <c r="H94" s="8">
        <v>2379.35</v>
      </c>
      <c r="I94" s="8">
        <v>783.62</v>
      </c>
      <c r="J94" s="8">
        <v>618.12</v>
      </c>
      <c r="K94" s="7">
        <v>25</v>
      </c>
      <c r="L94" s="7">
        <v>20</v>
      </c>
      <c r="M94" s="7">
        <v>19</v>
      </c>
      <c r="N94" s="7">
        <v>19</v>
      </c>
      <c r="O94" s="7">
        <v>24</v>
      </c>
      <c r="P94" s="7">
        <v>5</v>
      </c>
      <c r="Q94" s="7">
        <v>1</v>
      </c>
      <c r="R94" s="7">
        <v>3</v>
      </c>
      <c r="S94" s="7">
        <v>17</v>
      </c>
    </row>
    <row r="95" spans="1:19">
      <c r="A95" s="6">
        <v>46116</v>
      </c>
      <c r="B95" s="7" t="s">
        <v>20</v>
      </c>
      <c r="C95" s="7" t="s">
        <v>42</v>
      </c>
      <c r="D95" s="7">
        <v>80</v>
      </c>
      <c r="E95" s="7">
        <v>42</v>
      </c>
      <c r="F95" s="7">
        <v>38</v>
      </c>
      <c r="G95" s="7">
        <v>79</v>
      </c>
      <c r="H95" s="8">
        <v>2225.1999999999998</v>
      </c>
      <c r="I95" s="8">
        <v>732.99</v>
      </c>
      <c r="J95" s="8">
        <v>507.5</v>
      </c>
      <c r="K95" s="7">
        <v>16</v>
      </c>
      <c r="L95" s="7">
        <v>20</v>
      </c>
      <c r="M95" s="7">
        <v>19</v>
      </c>
      <c r="N95" s="7">
        <v>18</v>
      </c>
      <c r="O95" s="7">
        <v>23</v>
      </c>
      <c r="P95" s="7">
        <v>10</v>
      </c>
      <c r="Q95" s="7">
        <v>1</v>
      </c>
      <c r="R95" s="7">
        <v>4</v>
      </c>
      <c r="S95" s="7">
        <v>8</v>
      </c>
    </row>
    <row r="96" spans="1:19">
      <c r="A96" s="6">
        <v>46117</v>
      </c>
      <c r="B96" s="7" t="s">
        <v>20</v>
      </c>
      <c r="C96" s="7" t="s">
        <v>43</v>
      </c>
      <c r="D96" s="7">
        <v>60</v>
      </c>
      <c r="E96" s="7">
        <v>34</v>
      </c>
      <c r="F96" s="7">
        <v>26</v>
      </c>
      <c r="G96" s="7">
        <v>59</v>
      </c>
      <c r="H96" s="8">
        <v>1589.66</v>
      </c>
      <c r="I96" s="8">
        <v>533.85</v>
      </c>
      <c r="J96" s="8">
        <v>397.2</v>
      </c>
      <c r="K96" s="7">
        <v>13</v>
      </c>
      <c r="L96" s="7">
        <v>18</v>
      </c>
      <c r="M96" s="7">
        <v>11</v>
      </c>
      <c r="N96" s="7">
        <v>14</v>
      </c>
      <c r="O96" s="7">
        <v>21</v>
      </c>
      <c r="P96" s="7">
        <v>8</v>
      </c>
      <c r="Q96" s="7">
        <v>1</v>
      </c>
      <c r="R96" s="7">
        <v>3</v>
      </c>
      <c r="S96" s="7">
        <v>9</v>
      </c>
    </row>
    <row r="97" spans="1:19">
      <c r="A97" s="6">
        <v>46118</v>
      </c>
      <c r="B97" s="7" t="s">
        <v>20</v>
      </c>
      <c r="C97" s="7" t="s">
        <v>44</v>
      </c>
      <c r="D97" s="7">
        <v>36</v>
      </c>
      <c r="E97" s="7">
        <v>19</v>
      </c>
      <c r="F97" s="7">
        <v>17</v>
      </c>
      <c r="G97" s="7">
        <v>37</v>
      </c>
      <c r="H97" s="8">
        <v>999.81</v>
      </c>
      <c r="I97" s="8">
        <v>315.75</v>
      </c>
      <c r="J97" s="8">
        <v>257.26</v>
      </c>
      <c r="K97" s="7">
        <v>9</v>
      </c>
      <c r="L97" s="7">
        <v>11</v>
      </c>
      <c r="M97" s="7">
        <v>8</v>
      </c>
      <c r="N97" s="7">
        <v>9</v>
      </c>
      <c r="O97" s="7">
        <v>14</v>
      </c>
      <c r="P97" s="7">
        <v>3</v>
      </c>
      <c r="Q97" s="7">
        <v>0</v>
      </c>
      <c r="R97" s="7">
        <v>1</v>
      </c>
      <c r="S97" s="7">
        <v>6</v>
      </c>
    </row>
    <row r="98" spans="1:19">
      <c r="A98" s="6">
        <v>46119</v>
      </c>
      <c r="B98" s="7" t="s">
        <v>20</v>
      </c>
      <c r="C98" s="7" t="s">
        <v>45</v>
      </c>
      <c r="D98" s="7">
        <v>45</v>
      </c>
      <c r="E98" s="7">
        <v>25</v>
      </c>
      <c r="F98" s="7">
        <v>20</v>
      </c>
      <c r="G98" s="7">
        <v>45</v>
      </c>
      <c r="H98" s="8">
        <v>1318.07</v>
      </c>
      <c r="I98" s="8">
        <v>468.67</v>
      </c>
      <c r="J98" s="8">
        <v>281.77999999999997</v>
      </c>
      <c r="K98" s="7">
        <v>14</v>
      </c>
      <c r="L98" s="7">
        <v>12</v>
      </c>
      <c r="M98" s="7">
        <v>9</v>
      </c>
      <c r="N98" s="7">
        <v>9</v>
      </c>
      <c r="O98" s="7">
        <v>14</v>
      </c>
      <c r="P98" s="7">
        <v>3</v>
      </c>
      <c r="Q98" s="7">
        <v>0</v>
      </c>
      <c r="R98" s="7">
        <v>3</v>
      </c>
      <c r="S98" s="7">
        <v>7</v>
      </c>
    </row>
    <row r="99" spans="1:19">
      <c r="A99" s="6">
        <v>46120</v>
      </c>
      <c r="B99" s="7" t="s">
        <v>20</v>
      </c>
      <c r="C99" s="7" t="s">
        <v>46</v>
      </c>
      <c r="D99" s="7">
        <v>52</v>
      </c>
      <c r="E99" s="7">
        <v>29</v>
      </c>
      <c r="F99" s="7">
        <v>23</v>
      </c>
      <c r="G99" s="7">
        <v>50</v>
      </c>
      <c r="H99" s="8">
        <v>1500.99</v>
      </c>
      <c r="I99" s="8">
        <v>487.15</v>
      </c>
      <c r="J99" s="8">
        <v>347.36</v>
      </c>
      <c r="K99" s="7">
        <v>15</v>
      </c>
      <c r="L99" s="7">
        <v>15</v>
      </c>
      <c r="M99" s="7">
        <v>10</v>
      </c>
      <c r="N99" s="7">
        <v>10</v>
      </c>
      <c r="O99" s="7">
        <v>17</v>
      </c>
      <c r="P99" s="7">
        <v>6</v>
      </c>
      <c r="Q99" s="7">
        <v>1</v>
      </c>
      <c r="R99" s="7">
        <v>3</v>
      </c>
      <c r="S99" s="7">
        <v>10</v>
      </c>
    </row>
    <row r="100" spans="1:19">
      <c r="A100" s="6">
        <v>46121</v>
      </c>
      <c r="B100" s="7" t="s">
        <v>20</v>
      </c>
      <c r="C100" s="7" t="s">
        <v>40</v>
      </c>
      <c r="D100" s="7">
        <v>55</v>
      </c>
      <c r="E100" s="7">
        <v>31</v>
      </c>
      <c r="F100" s="7">
        <v>24</v>
      </c>
      <c r="G100" s="7">
        <v>56</v>
      </c>
      <c r="H100" s="8">
        <v>1602.48</v>
      </c>
      <c r="I100" s="8">
        <v>568.97</v>
      </c>
      <c r="J100" s="8">
        <v>406.43</v>
      </c>
      <c r="K100" s="7">
        <v>12</v>
      </c>
      <c r="L100" s="7">
        <v>15</v>
      </c>
      <c r="M100" s="7">
        <v>13</v>
      </c>
      <c r="N100" s="7">
        <v>13</v>
      </c>
      <c r="O100" s="7">
        <v>18</v>
      </c>
      <c r="P100" s="7">
        <v>4</v>
      </c>
      <c r="Q100" s="7">
        <v>0</v>
      </c>
      <c r="R100" s="7">
        <v>3</v>
      </c>
      <c r="S100" s="7">
        <v>8</v>
      </c>
    </row>
    <row r="101" spans="1:19">
      <c r="A101" s="6">
        <v>46122</v>
      </c>
      <c r="B101" s="7" t="s">
        <v>20</v>
      </c>
      <c r="C101" s="7" t="s">
        <v>41</v>
      </c>
      <c r="D101" s="7">
        <v>66</v>
      </c>
      <c r="E101" s="7">
        <v>38</v>
      </c>
      <c r="F101" s="7">
        <v>28</v>
      </c>
      <c r="G101" s="7">
        <v>66</v>
      </c>
      <c r="H101" s="8">
        <v>1954.21</v>
      </c>
      <c r="I101" s="8">
        <v>619.71</v>
      </c>
      <c r="J101" s="8">
        <v>512.4</v>
      </c>
      <c r="K101" s="7">
        <v>16</v>
      </c>
      <c r="L101" s="7">
        <v>20</v>
      </c>
      <c r="M101" s="7">
        <v>13</v>
      </c>
      <c r="N101" s="7">
        <v>18</v>
      </c>
      <c r="O101" s="7">
        <v>27</v>
      </c>
      <c r="P101" s="7">
        <v>4</v>
      </c>
      <c r="Q101" s="7">
        <v>1</v>
      </c>
      <c r="R101" s="7">
        <v>4</v>
      </c>
      <c r="S101" s="7">
        <v>9</v>
      </c>
    </row>
    <row r="102" spans="1:19">
      <c r="A102" s="6">
        <v>46123</v>
      </c>
      <c r="B102" s="7" t="s">
        <v>20</v>
      </c>
      <c r="C102" s="7" t="s">
        <v>42</v>
      </c>
      <c r="D102" s="7">
        <v>77</v>
      </c>
      <c r="E102" s="7">
        <v>48</v>
      </c>
      <c r="F102" s="7">
        <v>29</v>
      </c>
      <c r="G102" s="7">
        <v>76</v>
      </c>
      <c r="H102" s="8">
        <v>2446.2800000000002</v>
      </c>
      <c r="I102" s="8">
        <v>774.83</v>
      </c>
      <c r="J102" s="8">
        <v>523.59</v>
      </c>
      <c r="K102" s="7">
        <v>23</v>
      </c>
      <c r="L102" s="7">
        <v>19</v>
      </c>
      <c r="M102" s="7">
        <v>16</v>
      </c>
      <c r="N102" s="7">
        <v>18</v>
      </c>
      <c r="O102" s="7">
        <v>28</v>
      </c>
      <c r="P102" s="7">
        <v>8</v>
      </c>
      <c r="Q102" s="7">
        <v>1</v>
      </c>
      <c r="R102" s="7">
        <v>6</v>
      </c>
      <c r="S102" s="7">
        <v>11</v>
      </c>
    </row>
    <row r="103" spans="1:19">
      <c r="A103" s="6">
        <v>46124</v>
      </c>
      <c r="B103" s="7" t="s">
        <v>20</v>
      </c>
      <c r="C103" s="7" t="s">
        <v>43</v>
      </c>
      <c r="D103" s="7">
        <v>43</v>
      </c>
      <c r="E103" s="7">
        <v>24</v>
      </c>
      <c r="F103" s="7">
        <v>19</v>
      </c>
      <c r="G103" s="7">
        <v>42</v>
      </c>
      <c r="H103" s="8">
        <v>1171.3</v>
      </c>
      <c r="I103" s="8">
        <v>407</v>
      </c>
      <c r="J103" s="8">
        <v>263.52</v>
      </c>
      <c r="K103" s="7">
        <v>9</v>
      </c>
      <c r="L103" s="7">
        <v>12</v>
      </c>
      <c r="M103" s="7">
        <v>9</v>
      </c>
      <c r="N103" s="7">
        <v>9</v>
      </c>
      <c r="O103" s="7">
        <v>15</v>
      </c>
      <c r="P103" s="7">
        <v>3</v>
      </c>
      <c r="Q103" s="7">
        <v>0</v>
      </c>
      <c r="R103" s="7">
        <v>2</v>
      </c>
      <c r="S103" s="7">
        <v>6</v>
      </c>
    </row>
    <row r="104" spans="1:19">
      <c r="A104" s="6">
        <v>46125</v>
      </c>
      <c r="B104" s="7" t="s">
        <v>20</v>
      </c>
      <c r="C104" s="7" t="s">
        <v>44</v>
      </c>
      <c r="D104" s="7">
        <v>31</v>
      </c>
      <c r="E104" s="7">
        <v>17</v>
      </c>
      <c r="F104" s="7">
        <v>14</v>
      </c>
      <c r="G104" s="7">
        <v>29</v>
      </c>
      <c r="H104" s="8">
        <v>887.89</v>
      </c>
      <c r="I104" s="8">
        <v>299.75</v>
      </c>
      <c r="J104" s="8">
        <v>234.33</v>
      </c>
      <c r="K104" s="7">
        <v>8</v>
      </c>
      <c r="L104" s="7">
        <v>7</v>
      </c>
      <c r="M104" s="7">
        <v>7</v>
      </c>
      <c r="N104" s="7">
        <v>7</v>
      </c>
      <c r="O104" s="7">
        <v>9</v>
      </c>
      <c r="P104" s="7">
        <v>3</v>
      </c>
      <c r="Q104" s="7">
        <v>0</v>
      </c>
      <c r="R104" s="7">
        <v>1</v>
      </c>
      <c r="S104" s="7">
        <v>5</v>
      </c>
    </row>
    <row r="105" spans="1:19">
      <c r="A105" s="6">
        <v>46126</v>
      </c>
      <c r="B105" s="7" t="s">
        <v>20</v>
      </c>
      <c r="C105" s="7" t="s">
        <v>45</v>
      </c>
      <c r="D105" s="7">
        <v>51</v>
      </c>
      <c r="E105" s="7">
        <v>26</v>
      </c>
      <c r="F105" s="7">
        <v>25</v>
      </c>
      <c r="G105" s="7">
        <v>51</v>
      </c>
      <c r="H105" s="8">
        <v>1584.26</v>
      </c>
      <c r="I105" s="8">
        <v>549.55999999999995</v>
      </c>
      <c r="J105" s="8">
        <v>408.14</v>
      </c>
      <c r="K105" s="7">
        <v>14</v>
      </c>
      <c r="L105" s="7">
        <v>12</v>
      </c>
      <c r="M105" s="7">
        <v>10</v>
      </c>
      <c r="N105" s="7">
        <v>10</v>
      </c>
      <c r="O105" s="7">
        <v>20</v>
      </c>
      <c r="P105" s="7">
        <v>3</v>
      </c>
      <c r="Q105" s="7">
        <v>0</v>
      </c>
      <c r="R105" s="7">
        <v>3</v>
      </c>
      <c r="S105" s="7">
        <v>7</v>
      </c>
    </row>
    <row r="106" spans="1:19">
      <c r="A106" s="6">
        <v>46127</v>
      </c>
      <c r="B106" s="7" t="s">
        <v>20</v>
      </c>
      <c r="C106" s="7" t="s">
        <v>46</v>
      </c>
      <c r="D106" s="7">
        <v>36</v>
      </c>
      <c r="E106" s="7">
        <v>23</v>
      </c>
      <c r="F106" s="7">
        <v>13</v>
      </c>
      <c r="G106" s="7">
        <v>35</v>
      </c>
      <c r="H106" s="8">
        <v>1102.4100000000001</v>
      </c>
      <c r="I106" s="8">
        <v>386.88</v>
      </c>
      <c r="J106" s="8">
        <v>266.27999999999997</v>
      </c>
      <c r="K106" s="7">
        <v>11</v>
      </c>
      <c r="L106" s="7">
        <v>10</v>
      </c>
      <c r="M106" s="7">
        <v>6</v>
      </c>
      <c r="N106" s="7">
        <v>9</v>
      </c>
      <c r="O106" s="7">
        <v>13</v>
      </c>
      <c r="P106" s="7">
        <v>3</v>
      </c>
      <c r="Q106" s="7">
        <v>0</v>
      </c>
      <c r="R106" s="7">
        <v>2</v>
      </c>
      <c r="S106" s="7">
        <v>5</v>
      </c>
    </row>
    <row r="107" spans="1:19">
      <c r="A107" s="6">
        <v>46128</v>
      </c>
      <c r="B107" s="7" t="s">
        <v>20</v>
      </c>
      <c r="C107" s="7" t="s">
        <v>40</v>
      </c>
      <c r="D107" s="7">
        <v>45</v>
      </c>
      <c r="E107" s="7">
        <v>23</v>
      </c>
      <c r="F107" s="7">
        <v>22</v>
      </c>
      <c r="G107" s="7">
        <v>45</v>
      </c>
      <c r="H107" s="8">
        <v>1196.6300000000001</v>
      </c>
      <c r="I107" s="8">
        <v>434.75</v>
      </c>
      <c r="J107" s="8">
        <v>282.35000000000002</v>
      </c>
      <c r="K107" s="7">
        <v>15</v>
      </c>
      <c r="L107" s="7">
        <v>10</v>
      </c>
      <c r="M107" s="7">
        <v>8</v>
      </c>
      <c r="N107" s="7">
        <v>9</v>
      </c>
      <c r="O107" s="7">
        <v>14</v>
      </c>
      <c r="P107" s="7">
        <v>4</v>
      </c>
      <c r="Q107" s="7">
        <v>1</v>
      </c>
      <c r="R107" s="7">
        <v>3</v>
      </c>
      <c r="S107" s="7">
        <v>6</v>
      </c>
    </row>
    <row r="108" spans="1:19">
      <c r="A108" s="6">
        <v>46129</v>
      </c>
      <c r="B108" s="7" t="s">
        <v>20</v>
      </c>
      <c r="C108" s="7" t="s">
        <v>41</v>
      </c>
      <c r="D108" s="7">
        <v>80</v>
      </c>
      <c r="E108" s="7">
        <v>48</v>
      </c>
      <c r="F108" s="7">
        <v>32</v>
      </c>
      <c r="G108" s="7">
        <v>79</v>
      </c>
      <c r="H108" s="8">
        <v>2433.6</v>
      </c>
      <c r="I108" s="8">
        <v>781.81</v>
      </c>
      <c r="J108" s="8">
        <v>555.27</v>
      </c>
      <c r="K108" s="7">
        <v>22</v>
      </c>
      <c r="L108" s="7">
        <v>21</v>
      </c>
      <c r="M108" s="7">
        <v>15</v>
      </c>
      <c r="N108" s="7">
        <v>21</v>
      </c>
      <c r="O108" s="7">
        <v>24</v>
      </c>
      <c r="P108" s="7">
        <v>8</v>
      </c>
      <c r="Q108" s="7">
        <v>1</v>
      </c>
      <c r="R108" s="7">
        <v>5</v>
      </c>
      <c r="S108" s="7">
        <v>14</v>
      </c>
    </row>
    <row r="109" spans="1:19">
      <c r="A109" s="6">
        <v>46130</v>
      </c>
      <c r="B109" s="7" t="s">
        <v>20</v>
      </c>
      <c r="C109" s="7" t="s">
        <v>42</v>
      </c>
      <c r="D109" s="7">
        <v>75</v>
      </c>
      <c r="E109" s="7">
        <v>41</v>
      </c>
      <c r="F109" s="7">
        <v>34</v>
      </c>
      <c r="G109" s="7">
        <v>76</v>
      </c>
      <c r="H109" s="8">
        <v>2102.94</v>
      </c>
      <c r="I109" s="8">
        <v>667.21</v>
      </c>
      <c r="J109" s="8">
        <v>522.54999999999995</v>
      </c>
      <c r="K109" s="7">
        <v>21</v>
      </c>
      <c r="L109" s="7">
        <v>21</v>
      </c>
      <c r="M109" s="7">
        <v>18</v>
      </c>
      <c r="N109" s="7">
        <v>17</v>
      </c>
      <c r="O109" s="7">
        <v>28</v>
      </c>
      <c r="P109" s="7">
        <v>7</v>
      </c>
      <c r="Q109" s="7">
        <v>1</v>
      </c>
      <c r="R109" s="7">
        <v>4</v>
      </c>
      <c r="S109" s="7">
        <v>10</v>
      </c>
    </row>
    <row r="110" spans="1:19">
      <c r="A110" s="6">
        <v>46131</v>
      </c>
      <c r="B110" s="7" t="s">
        <v>20</v>
      </c>
      <c r="C110" s="7" t="s">
        <v>43</v>
      </c>
      <c r="D110" s="7">
        <v>46</v>
      </c>
      <c r="E110" s="7">
        <v>24</v>
      </c>
      <c r="F110" s="7">
        <v>22</v>
      </c>
      <c r="G110" s="7">
        <v>44</v>
      </c>
      <c r="H110" s="8">
        <v>1141.26</v>
      </c>
      <c r="I110" s="8">
        <v>362.92</v>
      </c>
      <c r="J110" s="8">
        <v>269.77</v>
      </c>
      <c r="K110" s="7">
        <v>12</v>
      </c>
      <c r="L110" s="7">
        <v>10</v>
      </c>
      <c r="M110" s="7">
        <v>10</v>
      </c>
      <c r="N110" s="7">
        <v>9</v>
      </c>
      <c r="O110" s="7">
        <v>17</v>
      </c>
      <c r="P110" s="7">
        <v>5</v>
      </c>
      <c r="Q110" s="7">
        <v>0</v>
      </c>
      <c r="R110" s="7">
        <v>3</v>
      </c>
      <c r="S110" s="7">
        <v>10</v>
      </c>
    </row>
    <row r="111" spans="1:19">
      <c r="A111" s="6">
        <v>46132</v>
      </c>
      <c r="B111" s="7" t="s">
        <v>20</v>
      </c>
      <c r="C111" s="7" t="s">
        <v>44</v>
      </c>
      <c r="D111" s="7">
        <v>34</v>
      </c>
      <c r="E111" s="7">
        <v>20</v>
      </c>
      <c r="F111" s="7">
        <v>14</v>
      </c>
      <c r="G111" s="7">
        <v>34</v>
      </c>
      <c r="H111" s="8">
        <v>932.1</v>
      </c>
      <c r="I111" s="8">
        <v>315.35000000000002</v>
      </c>
      <c r="J111" s="8">
        <v>210.7</v>
      </c>
      <c r="K111" s="7">
        <v>8</v>
      </c>
      <c r="L111" s="7">
        <v>8</v>
      </c>
      <c r="M111" s="7">
        <v>7</v>
      </c>
      <c r="N111" s="7">
        <v>8</v>
      </c>
      <c r="O111" s="7">
        <v>12</v>
      </c>
      <c r="P111" s="7">
        <v>3</v>
      </c>
      <c r="Q111" s="7">
        <v>0</v>
      </c>
      <c r="R111" s="7">
        <v>2</v>
      </c>
      <c r="S111" s="7">
        <v>4</v>
      </c>
    </row>
    <row r="112" spans="1:19">
      <c r="A112" s="6">
        <v>46133</v>
      </c>
      <c r="B112" s="7" t="s">
        <v>20</v>
      </c>
      <c r="C112" s="7" t="s">
        <v>45</v>
      </c>
      <c r="D112" s="7">
        <v>36</v>
      </c>
      <c r="E112" s="7">
        <v>19</v>
      </c>
      <c r="F112" s="7">
        <v>17</v>
      </c>
      <c r="G112" s="7">
        <v>35</v>
      </c>
      <c r="H112" s="8">
        <v>1000.59</v>
      </c>
      <c r="I112" s="8">
        <v>340.14</v>
      </c>
      <c r="J112" s="8">
        <v>228.65</v>
      </c>
      <c r="K112" s="7">
        <v>7</v>
      </c>
      <c r="L112" s="7">
        <v>11</v>
      </c>
      <c r="M112" s="7">
        <v>8</v>
      </c>
      <c r="N112" s="7">
        <v>9</v>
      </c>
      <c r="O112" s="7">
        <v>11</v>
      </c>
      <c r="P112" s="7">
        <v>3</v>
      </c>
      <c r="Q112" s="7">
        <v>0</v>
      </c>
      <c r="R112" s="7">
        <v>1</v>
      </c>
      <c r="S112" s="7">
        <v>6</v>
      </c>
    </row>
    <row r="113" spans="1:19">
      <c r="A113" s="6">
        <v>46134</v>
      </c>
      <c r="B113" s="7" t="s">
        <v>20</v>
      </c>
      <c r="C113" s="7" t="s">
        <v>46</v>
      </c>
      <c r="D113" s="7">
        <v>41</v>
      </c>
      <c r="E113" s="7">
        <v>22</v>
      </c>
      <c r="F113" s="7">
        <v>19</v>
      </c>
      <c r="G113" s="7">
        <v>40</v>
      </c>
      <c r="H113" s="8">
        <v>1148.81</v>
      </c>
      <c r="I113" s="8">
        <v>410.54</v>
      </c>
      <c r="J113" s="8">
        <v>270.95</v>
      </c>
      <c r="K113" s="7">
        <v>13</v>
      </c>
      <c r="L113" s="7">
        <v>11</v>
      </c>
      <c r="M113" s="7">
        <v>9</v>
      </c>
      <c r="N113" s="7">
        <v>9</v>
      </c>
      <c r="O113" s="7">
        <v>13</v>
      </c>
      <c r="P113" s="7">
        <v>4</v>
      </c>
      <c r="Q113" s="7">
        <v>0</v>
      </c>
      <c r="R113" s="7">
        <v>1</v>
      </c>
      <c r="S113" s="7">
        <v>7</v>
      </c>
    </row>
    <row r="114" spans="1:19">
      <c r="A114" s="6">
        <v>46135</v>
      </c>
      <c r="B114" s="7" t="s">
        <v>20</v>
      </c>
      <c r="C114" s="7" t="s">
        <v>40</v>
      </c>
      <c r="D114" s="7">
        <v>37</v>
      </c>
      <c r="E114" s="7">
        <v>22</v>
      </c>
      <c r="F114" s="7">
        <v>15</v>
      </c>
      <c r="G114" s="7">
        <v>38</v>
      </c>
      <c r="H114" s="8">
        <v>1124.1300000000001</v>
      </c>
      <c r="I114" s="8">
        <v>360.78</v>
      </c>
      <c r="J114" s="8">
        <v>301.83</v>
      </c>
      <c r="K114" s="7">
        <v>10</v>
      </c>
      <c r="L114" s="7">
        <v>11</v>
      </c>
      <c r="M114" s="7">
        <v>8</v>
      </c>
      <c r="N114" s="7">
        <v>10</v>
      </c>
      <c r="O114" s="7">
        <v>15</v>
      </c>
      <c r="P114" s="7">
        <v>3</v>
      </c>
      <c r="Q114" s="7">
        <v>0</v>
      </c>
      <c r="R114" s="7">
        <v>2</v>
      </c>
      <c r="S114" s="7">
        <v>6</v>
      </c>
    </row>
    <row r="115" spans="1:19">
      <c r="A115" s="6">
        <v>46136</v>
      </c>
      <c r="B115" s="7" t="s">
        <v>20</v>
      </c>
      <c r="C115" s="7" t="s">
        <v>41</v>
      </c>
      <c r="D115" s="7">
        <v>66</v>
      </c>
      <c r="E115" s="7">
        <v>41</v>
      </c>
      <c r="F115" s="7">
        <v>25</v>
      </c>
      <c r="G115" s="7">
        <v>64</v>
      </c>
      <c r="H115" s="8">
        <v>1941.92</v>
      </c>
      <c r="I115" s="8">
        <v>656.08</v>
      </c>
      <c r="J115" s="8">
        <v>478.44</v>
      </c>
      <c r="K115" s="7">
        <v>17</v>
      </c>
      <c r="L115" s="7">
        <v>16</v>
      </c>
      <c r="M115" s="7">
        <v>14</v>
      </c>
      <c r="N115" s="7">
        <v>13</v>
      </c>
      <c r="O115" s="7">
        <v>27</v>
      </c>
      <c r="P115" s="7">
        <v>7</v>
      </c>
      <c r="Q115" s="7">
        <v>1</v>
      </c>
      <c r="R115" s="7">
        <v>3</v>
      </c>
      <c r="S115" s="7">
        <v>9</v>
      </c>
    </row>
    <row r="116" spans="1:19">
      <c r="A116" s="6">
        <v>46137</v>
      </c>
      <c r="B116" s="7" t="s">
        <v>20</v>
      </c>
      <c r="C116" s="7" t="s">
        <v>42</v>
      </c>
      <c r="D116" s="7">
        <v>70</v>
      </c>
      <c r="E116" s="7">
        <v>41</v>
      </c>
      <c r="F116" s="7">
        <v>29</v>
      </c>
      <c r="G116" s="7">
        <v>71</v>
      </c>
      <c r="H116" s="8">
        <v>2109.42</v>
      </c>
      <c r="I116" s="8">
        <v>735.53</v>
      </c>
      <c r="J116" s="8">
        <v>567</v>
      </c>
      <c r="K116" s="7">
        <v>20</v>
      </c>
      <c r="L116" s="7">
        <v>21</v>
      </c>
      <c r="M116" s="7">
        <v>16</v>
      </c>
      <c r="N116" s="7">
        <v>17</v>
      </c>
      <c r="O116" s="7">
        <v>20</v>
      </c>
      <c r="P116" s="7">
        <v>7</v>
      </c>
      <c r="Q116" s="7">
        <v>1</v>
      </c>
      <c r="R116" s="7">
        <v>5</v>
      </c>
      <c r="S116" s="7">
        <v>14</v>
      </c>
    </row>
    <row r="117" spans="1:19">
      <c r="A117" s="6">
        <v>46138</v>
      </c>
      <c r="B117" s="7" t="s">
        <v>20</v>
      </c>
      <c r="C117" s="7" t="s">
        <v>43</v>
      </c>
      <c r="D117" s="7">
        <v>57</v>
      </c>
      <c r="E117" s="7">
        <v>31</v>
      </c>
      <c r="F117" s="7">
        <v>26</v>
      </c>
      <c r="G117" s="7">
        <v>57</v>
      </c>
      <c r="H117" s="8">
        <v>1653.06</v>
      </c>
      <c r="I117" s="8">
        <v>534.80999999999995</v>
      </c>
      <c r="J117" s="8">
        <v>409.53</v>
      </c>
      <c r="K117" s="7">
        <v>16</v>
      </c>
      <c r="L117" s="7">
        <v>17</v>
      </c>
      <c r="M117" s="7">
        <v>11</v>
      </c>
      <c r="N117" s="7">
        <v>14</v>
      </c>
      <c r="O117" s="7">
        <v>16</v>
      </c>
      <c r="P117" s="7">
        <v>7</v>
      </c>
      <c r="Q117" s="7">
        <v>1</v>
      </c>
      <c r="R117" s="7">
        <v>2</v>
      </c>
      <c r="S117" s="7">
        <v>6</v>
      </c>
    </row>
    <row r="118" spans="1:19">
      <c r="A118" s="6">
        <v>46139</v>
      </c>
      <c r="B118" s="7" t="s">
        <v>20</v>
      </c>
      <c r="C118" s="7" t="s">
        <v>44</v>
      </c>
      <c r="D118" s="7">
        <v>37</v>
      </c>
      <c r="E118" s="7">
        <v>21</v>
      </c>
      <c r="F118" s="7">
        <v>16</v>
      </c>
      <c r="G118" s="7">
        <v>37</v>
      </c>
      <c r="H118" s="8">
        <v>1147.8599999999999</v>
      </c>
      <c r="I118" s="8">
        <v>411.67</v>
      </c>
      <c r="J118" s="8">
        <v>291.73</v>
      </c>
      <c r="K118" s="7">
        <v>8</v>
      </c>
      <c r="L118" s="7">
        <v>9</v>
      </c>
      <c r="M118" s="7">
        <v>7</v>
      </c>
      <c r="N118" s="7">
        <v>8</v>
      </c>
      <c r="O118" s="7">
        <v>14</v>
      </c>
      <c r="P118" s="7">
        <v>4</v>
      </c>
      <c r="Q118" s="7">
        <v>1</v>
      </c>
      <c r="R118" s="7">
        <v>2</v>
      </c>
      <c r="S118" s="7">
        <v>4</v>
      </c>
    </row>
    <row r="119" spans="1:19">
      <c r="A119" s="6">
        <v>46140</v>
      </c>
      <c r="B119" s="7" t="s">
        <v>20</v>
      </c>
      <c r="C119" s="7" t="s">
        <v>45</v>
      </c>
      <c r="D119" s="7">
        <v>46</v>
      </c>
      <c r="E119" s="7">
        <v>27</v>
      </c>
      <c r="F119" s="7">
        <v>19</v>
      </c>
      <c r="G119" s="7">
        <v>44</v>
      </c>
      <c r="H119" s="8">
        <v>1325.81</v>
      </c>
      <c r="I119" s="8">
        <v>465.42</v>
      </c>
      <c r="J119" s="8">
        <v>329.59</v>
      </c>
      <c r="K119" s="7">
        <v>13</v>
      </c>
      <c r="L119" s="7">
        <v>12</v>
      </c>
      <c r="M119" s="7">
        <v>9</v>
      </c>
      <c r="N119" s="7">
        <v>9</v>
      </c>
      <c r="O119" s="7">
        <v>16</v>
      </c>
      <c r="P119" s="7">
        <v>3</v>
      </c>
      <c r="Q119" s="7">
        <v>0</v>
      </c>
      <c r="R119" s="7">
        <v>3</v>
      </c>
      <c r="S119" s="7">
        <v>6</v>
      </c>
    </row>
    <row r="120" spans="1:19">
      <c r="A120" s="6">
        <v>46141</v>
      </c>
      <c r="B120" s="7" t="s">
        <v>20</v>
      </c>
      <c r="C120" s="7" t="s">
        <v>46</v>
      </c>
      <c r="D120" s="7">
        <v>45</v>
      </c>
      <c r="E120" s="7">
        <v>27</v>
      </c>
      <c r="F120" s="7">
        <v>18</v>
      </c>
      <c r="G120" s="7">
        <v>43</v>
      </c>
      <c r="H120" s="8">
        <v>1337.39</v>
      </c>
      <c r="I120" s="8">
        <v>474.47</v>
      </c>
      <c r="J120" s="8">
        <v>302.8</v>
      </c>
      <c r="K120" s="7">
        <v>9</v>
      </c>
      <c r="L120" s="7">
        <v>12</v>
      </c>
      <c r="M120" s="7">
        <v>9</v>
      </c>
      <c r="N120" s="7">
        <v>12</v>
      </c>
      <c r="O120" s="7">
        <v>17</v>
      </c>
      <c r="P120" s="7">
        <v>6</v>
      </c>
      <c r="Q120" s="7">
        <v>1</v>
      </c>
      <c r="R120" s="7">
        <v>3</v>
      </c>
      <c r="S120" s="7">
        <v>6</v>
      </c>
    </row>
    <row r="121" spans="1:19">
      <c r="A121" s="6">
        <v>46142</v>
      </c>
      <c r="B121" s="7" t="s">
        <v>20</v>
      </c>
      <c r="C121" s="7" t="s">
        <v>40</v>
      </c>
      <c r="D121" s="7">
        <v>57</v>
      </c>
      <c r="E121" s="7">
        <v>30</v>
      </c>
      <c r="F121" s="7">
        <v>27</v>
      </c>
      <c r="G121" s="7">
        <v>55</v>
      </c>
      <c r="H121" s="8">
        <v>1548.48</v>
      </c>
      <c r="I121" s="8">
        <v>507.63</v>
      </c>
      <c r="J121" s="8">
        <v>369.69</v>
      </c>
      <c r="K121" s="7">
        <v>13</v>
      </c>
      <c r="L121" s="7">
        <v>15</v>
      </c>
      <c r="M121" s="7">
        <v>13</v>
      </c>
      <c r="N121" s="7">
        <v>14</v>
      </c>
      <c r="O121" s="7">
        <v>16</v>
      </c>
      <c r="P121" s="7">
        <v>6</v>
      </c>
      <c r="Q121" s="7">
        <v>1</v>
      </c>
      <c r="R121" s="7">
        <v>3</v>
      </c>
      <c r="S121" s="7">
        <v>7</v>
      </c>
    </row>
    <row r="122" spans="1:19">
      <c r="A122" s="6">
        <v>46143</v>
      </c>
      <c r="B122" s="7" t="s">
        <v>21</v>
      </c>
      <c r="C122" s="7" t="s">
        <v>41</v>
      </c>
      <c r="D122" s="7">
        <v>55</v>
      </c>
      <c r="E122" s="7">
        <v>35</v>
      </c>
      <c r="F122" s="7">
        <v>20</v>
      </c>
      <c r="G122" s="7">
        <v>53</v>
      </c>
      <c r="H122" s="8">
        <v>1685.62</v>
      </c>
      <c r="I122" s="8">
        <v>539.44000000000005</v>
      </c>
      <c r="J122" s="8">
        <v>431.93</v>
      </c>
      <c r="K122" s="7">
        <v>11</v>
      </c>
      <c r="L122" s="7">
        <v>14</v>
      </c>
      <c r="M122" s="7">
        <v>13</v>
      </c>
      <c r="N122" s="7">
        <v>12</v>
      </c>
      <c r="O122" s="7">
        <v>22</v>
      </c>
      <c r="P122" s="7">
        <v>7</v>
      </c>
      <c r="Q122" s="7">
        <v>1</v>
      </c>
      <c r="R122" s="7">
        <v>3</v>
      </c>
      <c r="S122" s="7">
        <v>7</v>
      </c>
    </row>
    <row r="123" spans="1:19">
      <c r="A123" s="6">
        <v>46144</v>
      </c>
      <c r="B123" s="7" t="s">
        <v>21</v>
      </c>
      <c r="C123" s="7" t="s">
        <v>42</v>
      </c>
      <c r="D123" s="7">
        <v>84</v>
      </c>
      <c r="E123" s="7">
        <v>49</v>
      </c>
      <c r="F123" s="7">
        <v>35</v>
      </c>
      <c r="G123" s="7">
        <v>84</v>
      </c>
      <c r="H123" s="8">
        <v>2767.6</v>
      </c>
      <c r="I123" s="8">
        <v>884.17</v>
      </c>
      <c r="J123" s="8">
        <v>676.53</v>
      </c>
      <c r="K123" s="7">
        <v>23</v>
      </c>
      <c r="L123" s="7">
        <v>24</v>
      </c>
      <c r="M123" s="7">
        <v>21</v>
      </c>
      <c r="N123" s="7">
        <v>22</v>
      </c>
      <c r="O123" s="7">
        <v>26</v>
      </c>
      <c r="P123" s="7">
        <v>10</v>
      </c>
      <c r="Q123" s="7">
        <v>2</v>
      </c>
      <c r="R123" s="7">
        <v>3</v>
      </c>
      <c r="S123" s="7">
        <v>18</v>
      </c>
    </row>
    <row r="124" spans="1:19">
      <c r="A124" s="6">
        <v>46145</v>
      </c>
      <c r="B124" s="7" t="s">
        <v>21</v>
      </c>
      <c r="C124" s="7" t="s">
        <v>43</v>
      </c>
      <c r="D124" s="7">
        <v>52</v>
      </c>
      <c r="E124" s="7">
        <v>25</v>
      </c>
      <c r="F124" s="7">
        <v>27</v>
      </c>
      <c r="G124" s="7">
        <v>53</v>
      </c>
      <c r="H124" s="8">
        <v>1645.98</v>
      </c>
      <c r="I124" s="8">
        <v>590.64</v>
      </c>
      <c r="J124" s="8">
        <v>346.57</v>
      </c>
      <c r="K124" s="7">
        <v>15</v>
      </c>
      <c r="L124" s="7">
        <v>12</v>
      </c>
      <c r="M124" s="7">
        <v>13</v>
      </c>
      <c r="N124" s="7">
        <v>11</v>
      </c>
      <c r="O124" s="7">
        <v>22</v>
      </c>
      <c r="P124" s="7">
        <v>5</v>
      </c>
      <c r="Q124" s="7">
        <v>1</v>
      </c>
      <c r="R124" s="7">
        <v>3</v>
      </c>
      <c r="S124" s="7">
        <v>11</v>
      </c>
    </row>
    <row r="125" spans="1:19">
      <c r="A125" s="6">
        <v>46146</v>
      </c>
      <c r="B125" s="7" t="s">
        <v>21</v>
      </c>
      <c r="C125" s="7" t="s">
        <v>44</v>
      </c>
      <c r="D125" s="7">
        <v>36</v>
      </c>
      <c r="E125" s="7">
        <v>20</v>
      </c>
      <c r="F125" s="7">
        <v>16</v>
      </c>
      <c r="G125" s="7">
        <v>34</v>
      </c>
      <c r="H125" s="8">
        <v>889.98</v>
      </c>
      <c r="I125" s="8">
        <v>287.57</v>
      </c>
      <c r="J125" s="8">
        <v>211.4</v>
      </c>
      <c r="K125" s="7">
        <v>8</v>
      </c>
      <c r="L125" s="7">
        <v>8</v>
      </c>
      <c r="M125" s="7">
        <v>8</v>
      </c>
      <c r="N125" s="7">
        <v>9</v>
      </c>
      <c r="O125" s="7">
        <v>12</v>
      </c>
      <c r="P125" s="7">
        <v>4</v>
      </c>
      <c r="Q125" s="7">
        <v>1</v>
      </c>
      <c r="R125" s="7">
        <v>1</v>
      </c>
      <c r="S125" s="7">
        <v>7</v>
      </c>
    </row>
    <row r="126" spans="1:19">
      <c r="A126" s="6">
        <v>46147</v>
      </c>
      <c r="B126" s="7" t="s">
        <v>21</v>
      </c>
      <c r="C126" s="7" t="s">
        <v>45</v>
      </c>
      <c r="D126" s="7">
        <v>43</v>
      </c>
      <c r="E126" s="7">
        <v>27</v>
      </c>
      <c r="F126" s="7">
        <v>16</v>
      </c>
      <c r="G126" s="7">
        <v>43</v>
      </c>
      <c r="H126" s="8">
        <v>1144.17</v>
      </c>
      <c r="I126" s="8">
        <v>368.46</v>
      </c>
      <c r="J126" s="8">
        <v>262.49</v>
      </c>
      <c r="K126" s="7">
        <v>10</v>
      </c>
      <c r="L126" s="7">
        <v>10</v>
      </c>
      <c r="M126" s="7">
        <v>8</v>
      </c>
      <c r="N126" s="7">
        <v>11</v>
      </c>
      <c r="O126" s="7">
        <v>18</v>
      </c>
      <c r="P126" s="7">
        <v>3</v>
      </c>
      <c r="Q126" s="7">
        <v>0</v>
      </c>
      <c r="R126" s="7">
        <v>3</v>
      </c>
      <c r="S126" s="7">
        <v>4</v>
      </c>
    </row>
    <row r="127" spans="1:19">
      <c r="A127" s="6">
        <v>46148</v>
      </c>
      <c r="B127" s="7" t="s">
        <v>21</v>
      </c>
      <c r="C127" s="7" t="s">
        <v>46</v>
      </c>
      <c r="D127" s="7">
        <v>37</v>
      </c>
      <c r="E127" s="7">
        <v>20</v>
      </c>
      <c r="F127" s="7">
        <v>17</v>
      </c>
      <c r="G127" s="7">
        <v>35</v>
      </c>
      <c r="H127" s="8">
        <v>917.33</v>
      </c>
      <c r="I127" s="8">
        <v>303.02999999999997</v>
      </c>
      <c r="J127" s="8">
        <v>214.95</v>
      </c>
      <c r="K127" s="7">
        <v>9</v>
      </c>
      <c r="L127" s="7">
        <v>11</v>
      </c>
      <c r="M127" s="7">
        <v>8</v>
      </c>
      <c r="N127" s="7">
        <v>8</v>
      </c>
      <c r="O127" s="7">
        <v>10</v>
      </c>
      <c r="P127" s="7">
        <v>5</v>
      </c>
      <c r="Q127" s="7">
        <v>0</v>
      </c>
      <c r="R127" s="7">
        <v>1</v>
      </c>
      <c r="S127" s="7">
        <v>6</v>
      </c>
    </row>
    <row r="128" spans="1:19">
      <c r="A128" s="6">
        <v>46149</v>
      </c>
      <c r="B128" s="7" t="s">
        <v>21</v>
      </c>
      <c r="C128" s="7" t="s">
        <v>40</v>
      </c>
      <c r="D128" s="7">
        <v>50</v>
      </c>
      <c r="E128" s="7">
        <v>26</v>
      </c>
      <c r="F128" s="7">
        <v>24</v>
      </c>
      <c r="G128" s="7">
        <v>50</v>
      </c>
      <c r="H128" s="8">
        <v>1399.75</v>
      </c>
      <c r="I128" s="8">
        <v>479.36</v>
      </c>
      <c r="J128" s="8">
        <v>333.49</v>
      </c>
      <c r="K128" s="7">
        <v>14</v>
      </c>
      <c r="L128" s="7">
        <v>14</v>
      </c>
      <c r="M128" s="7">
        <v>10</v>
      </c>
      <c r="N128" s="7">
        <v>10</v>
      </c>
      <c r="O128" s="7">
        <v>19</v>
      </c>
      <c r="P128" s="7">
        <v>6</v>
      </c>
      <c r="Q128" s="7">
        <v>1</v>
      </c>
      <c r="R128" s="7">
        <v>1</v>
      </c>
      <c r="S128" s="7">
        <v>8</v>
      </c>
    </row>
    <row r="129" spans="1:19">
      <c r="A129" s="6">
        <v>46150</v>
      </c>
      <c r="B129" s="7" t="s">
        <v>21</v>
      </c>
      <c r="C129" s="7" t="s">
        <v>41</v>
      </c>
      <c r="D129" s="7">
        <v>70</v>
      </c>
      <c r="E129" s="7">
        <v>44</v>
      </c>
      <c r="F129" s="7">
        <v>26</v>
      </c>
      <c r="G129" s="7">
        <v>69</v>
      </c>
      <c r="H129" s="8">
        <v>1923.07</v>
      </c>
      <c r="I129" s="8">
        <v>658.43</v>
      </c>
      <c r="J129" s="8">
        <v>462.17</v>
      </c>
      <c r="K129" s="7">
        <v>19</v>
      </c>
      <c r="L129" s="7">
        <v>16</v>
      </c>
      <c r="M129" s="7">
        <v>14</v>
      </c>
      <c r="N129" s="7">
        <v>16</v>
      </c>
      <c r="O129" s="7">
        <v>20</v>
      </c>
      <c r="P129" s="7">
        <v>5</v>
      </c>
      <c r="Q129" s="7">
        <v>1</v>
      </c>
      <c r="R129" s="7">
        <v>4</v>
      </c>
      <c r="S129" s="7">
        <v>8</v>
      </c>
    </row>
    <row r="130" spans="1:19">
      <c r="A130" s="6">
        <v>46151</v>
      </c>
      <c r="B130" s="7" t="s">
        <v>21</v>
      </c>
      <c r="C130" s="7" t="s">
        <v>42</v>
      </c>
      <c r="D130" s="7">
        <v>92</v>
      </c>
      <c r="E130" s="7">
        <v>51</v>
      </c>
      <c r="F130" s="7">
        <v>41</v>
      </c>
      <c r="G130" s="7">
        <v>90</v>
      </c>
      <c r="H130" s="8">
        <v>2506.1799999999998</v>
      </c>
      <c r="I130" s="8">
        <v>847.39</v>
      </c>
      <c r="J130" s="8">
        <v>647.63</v>
      </c>
      <c r="K130" s="7">
        <v>27</v>
      </c>
      <c r="L130" s="7">
        <v>23</v>
      </c>
      <c r="M130" s="7">
        <v>21</v>
      </c>
      <c r="N130" s="7">
        <v>22</v>
      </c>
      <c r="O130" s="7">
        <v>32</v>
      </c>
      <c r="P130" s="7">
        <v>6</v>
      </c>
      <c r="Q130" s="7">
        <v>1</v>
      </c>
      <c r="R130" s="7">
        <v>4</v>
      </c>
      <c r="S130" s="7">
        <v>10</v>
      </c>
    </row>
    <row r="131" spans="1:19">
      <c r="A131" s="6">
        <v>46152</v>
      </c>
      <c r="B131" s="7" t="s">
        <v>21</v>
      </c>
      <c r="C131" s="7" t="s">
        <v>43</v>
      </c>
      <c r="D131" s="7">
        <v>52</v>
      </c>
      <c r="E131" s="7">
        <v>26</v>
      </c>
      <c r="F131" s="7">
        <v>26</v>
      </c>
      <c r="G131" s="7">
        <v>49</v>
      </c>
      <c r="H131" s="8">
        <v>1524.03</v>
      </c>
      <c r="I131" s="8">
        <v>482.49</v>
      </c>
      <c r="J131" s="8">
        <v>357.43</v>
      </c>
      <c r="K131" s="7">
        <v>15</v>
      </c>
      <c r="L131" s="7">
        <v>14</v>
      </c>
      <c r="M131" s="7">
        <v>12</v>
      </c>
      <c r="N131" s="7">
        <v>12</v>
      </c>
      <c r="O131" s="7">
        <v>17</v>
      </c>
      <c r="P131" s="7">
        <v>7</v>
      </c>
      <c r="Q131" s="7">
        <v>1</v>
      </c>
      <c r="R131" s="7">
        <v>2</v>
      </c>
      <c r="S131" s="7">
        <v>10</v>
      </c>
    </row>
    <row r="132" spans="1:19">
      <c r="A132" s="6">
        <v>46153</v>
      </c>
      <c r="B132" s="7" t="s">
        <v>21</v>
      </c>
      <c r="C132" s="7" t="s">
        <v>44</v>
      </c>
      <c r="D132" s="7">
        <v>29</v>
      </c>
      <c r="E132" s="7">
        <v>15</v>
      </c>
      <c r="F132" s="7">
        <v>14</v>
      </c>
      <c r="G132" s="7">
        <v>29</v>
      </c>
      <c r="H132" s="8">
        <v>853.21</v>
      </c>
      <c r="I132" s="8">
        <v>283.60000000000002</v>
      </c>
      <c r="J132" s="8">
        <v>188.31</v>
      </c>
      <c r="K132" s="7">
        <v>8</v>
      </c>
      <c r="L132" s="7">
        <v>8</v>
      </c>
      <c r="M132" s="7">
        <v>7</v>
      </c>
      <c r="N132" s="7">
        <v>6</v>
      </c>
      <c r="O132" s="7">
        <v>8</v>
      </c>
      <c r="P132" s="7">
        <v>2</v>
      </c>
      <c r="Q132" s="7">
        <v>0</v>
      </c>
      <c r="R132" s="7">
        <v>1</v>
      </c>
      <c r="S132" s="7">
        <v>5</v>
      </c>
    </row>
    <row r="133" spans="1:19">
      <c r="A133" s="6">
        <v>46154</v>
      </c>
      <c r="B133" s="7" t="s">
        <v>21</v>
      </c>
      <c r="C133" s="7" t="s">
        <v>45</v>
      </c>
      <c r="D133" s="7">
        <v>46</v>
      </c>
      <c r="E133" s="7">
        <v>26</v>
      </c>
      <c r="F133" s="7">
        <v>20</v>
      </c>
      <c r="G133" s="7">
        <v>47</v>
      </c>
      <c r="H133" s="8">
        <v>1268.3</v>
      </c>
      <c r="I133" s="8">
        <v>421.47</v>
      </c>
      <c r="J133" s="8">
        <v>287.32</v>
      </c>
      <c r="K133" s="7">
        <v>16</v>
      </c>
      <c r="L133" s="7">
        <v>13</v>
      </c>
      <c r="M133" s="7">
        <v>9</v>
      </c>
      <c r="N133" s="7">
        <v>12</v>
      </c>
      <c r="O133" s="7">
        <v>16</v>
      </c>
      <c r="P133" s="7">
        <v>5</v>
      </c>
      <c r="Q133" s="7">
        <v>0</v>
      </c>
      <c r="R133" s="7">
        <v>3</v>
      </c>
      <c r="S133" s="7">
        <v>5</v>
      </c>
    </row>
    <row r="134" spans="1:19">
      <c r="A134" s="6">
        <v>46155</v>
      </c>
      <c r="B134" s="7" t="s">
        <v>21</v>
      </c>
      <c r="C134" s="7" t="s">
        <v>46</v>
      </c>
      <c r="D134" s="7">
        <v>44</v>
      </c>
      <c r="E134" s="7">
        <v>24</v>
      </c>
      <c r="F134" s="7">
        <v>20</v>
      </c>
      <c r="G134" s="7">
        <v>44</v>
      </c>
      <c r="H134" s="8">
        <v>1134.8499999999999</v>
      </c>
      <c r="I134" s="8">
        <v>399.5</v>
      </c>
      <c r="J134" s="8">
        <v>265.70999999999998</v>
      </c>
      <c r="K134" s="7">
        <v>10</v>
      </c>
      <c r="L134" s="7">
        <v>11</v>
      </c>
      <c r="M134" s="7">
        <v>11</v>
      </c>
      <c r="N134" s="7">
        <v>9</v>
      </c>
      <c r="O134" s="7">
        <v>15</v>
      </c>
      <c r="P134" s="7">
        <v>4</v>
      </c>
      <c r="Q134" s="7">
        <v>0</v>
      </c>
      <c r="R134" s="7">
        <v>3</v>
      </c>
      <c r="S134" s="7">
        <v>8</v>
      </c>
    </row>
    <row r="135" spans="1:19">
      <c r="A135" s="6">
        <v>46156</v>
      </c>
      <c r="B135" s="7" t="s">
        <v>21</v>
      </c>
      <c r="C135" s="7" t="s">
        <v>40</v>
      </c>
      <c r="D135" s="7">
        <v>49</v>
      </c>
      <c r="E135" s="7">
        <v>27</v>
      </c>
      <c r="F135" s="7">
        <v>22</v>
      </c>
      <c r="G135" s="7">
        <v>49</v>
      </c>
      <c r="H135" s="8">
        <v>1343.78</v>
      </c>
      <c r="I135" s="8">
        <v>443.57</v>
      </c>
      <c r="J135" s="8">
        <v>293.74</v>
      </c>
      <c r="K135" s="7">
        <v>14</v>
      </c>
      <c r="L135" s="7">
        <v>12</v>
      </c>
      <c r="M135" s="7">
        <v>10</v>
      </c>
      <c r="N135" s="7">
        <v>10</v>
      </c>
      <c r="O135" s="7">
        <v>20</v>
      </c>
      <c r="P135" s="7">
        <v>6</v>
      </c>
      <c r="Q135" s="7">
        <v>1</v>
      </c>
      <c r="R135" s="7">
        <v>3</v>
      </c>
      <c r="S135" s="7">
        <v>9</v>
      </c>
    </row>
    <row r="136" spans="1:19">
      <c r="A136" s="6">
        <v>46157</v>
      </c>
      <c r="B136" s="7" t="s">
        <v>21</v>
      </c>
      <c r="C136" s="7" t="s">
        <v>41</v>
      </c>
      <c r="D136" s="7">
        <v>45</v>
      </c>
      <c r="E136" s="7">
        <v>22</v>
      </c>
      <c r="F136" s="7">
        <v>23</v>
      </c>
      <c r="G136" s="7">
        <v>45</v>
      </c>
      <c r="H136" s="8">
        <v>1449.67</v>
      </c>
      <c r="I136" s="8">
        <v>479.75</v>
      </c>
      <c r="J136" s="8">
        <v>340.64</v>
      </c>
      <c r="K136" s="7">
        <v>10</v>
      </c>
      <c r="L136" s="7">
        <v>11</v>
      </c>
      <c r="M136" s="7">
        <v>10</v>
      </c>
      <c r="N136" s="7">
        <v>10</v>
      </c>
      <c r="O136" s="7">
        <v>18</v>
      </c>
      <c r="P136" s="7">
        <v>4</v>
      </c>
      <c r="Q136" s="7">
        <v>1</v>
      </c>
      <c r="R136" s="7">
        <v>3</v>
      </c>
      <c r="S136" s="7">
        <v>9</v>
      </c>
    </row>
    <row r="137" spans="1:19">
      <c r="A137" s="6">
        <v>46158</v>
      </c>
      <c r="B137" s="7" t="s">
        <v>21</v>
      </c>
      <c r="C137" s="7" t="s">
        <v>42</v>
      </c>
      <c r="D137" s="7">
        <v>89</v>
      </c>
      <c r="E137" s="7">
        <v>49</v>
      </c>
      <c r="F137" s="7">
        <v>40</v>
      </c>
      <c r="G137" s="7">
        <v>91</v>
      </c>
      <c r="H137" s="8">
        <v>2806.78</v>
      </c>
      <c r="I137" s="8">
        <v>902.95</v>
      </c>
      <c r="J137" s="8">
        <v>630.32000000000005</v>
      </c>
      <c r="K137" s="7">
        <v>21</v>
      </c>
      <c r="L137" s="7">
        <v>25</v>
      </c>
      <c r="M137" s="7">
        <v>22</v>
      </c>
      <c r="N137" s="7">
        <v>23</v>
      </c>
      <c r="O137" s="7">
        <v>27</v>
      </c>
      <c r="P137" s="7">
        <v>10</v>
      </c>
      <c r="Q137" s="7">
        <v>1</v>
      </c>
      <c r="R137" s="7">
        <v>3</v>
      </c>
      <c r="S137" s="7">
        <v>12</v>
      </c>
    </row>
    <row r="138" spans="1:19">
      <c r="A138" s="6">
        <v>46159</v>
      </c>
      <c r="B138" s="7" t="s">
        <v>21</v>
      </c>
      <c r="C138" s="7" t="s">
        <v>43</v>
      </c>
      <c r="D138" s="7">
        <v>48</v>
      </c>
      <c r="E138" s="7">
        <v>29</v>
      </c>
      <c r="F138" s="7">
        <v>19</v>
      </c>
      <c r="G138" s="7">
        <v>48</v>
      </c>
      <c r="H138" s="8">
        <v>1432.6</v>
      </c>
      <c r="I138" s="8">
        <v>491.3</v>
      </c>
      <c r="J138" s="8">
        <v>342.05</v>
      </c>
      <c r="K138" s="7">
        <v>15</v>
      </c>
      <c r="L138" s="7">
        <v>12</v>
      </c>
      <c r="M138" s="7">
        <v>12</v>
      </c>
      <c r="N138" s="7">
        <v>9</v>
      </c>
      <c r="O138" s="7">
        <v>20</v>
      </c>
      <c r="P138" s="7">
        <v>6</v>
      </c>
      <c r="Q138" s="7">
        <v>1</v>
      </c>
      <c r="R138" s="7">
        <v>1</v>
      </c>
      <c r="S138" s="7">
        <v>11</v>
      </c>
    </row>
    <row r="139" spans="1:19">
      <c r="A139" s="6">
        <v>46160</v>
      </c>
      <c r="B139" s="7" t="s">
        <v>21</v>
      </c>
      <c r="C139" s="7" t="s">
        <v>44</v>
      </c>
      <c r="D139" s="7">
        <v>29</v>
      </c>
      <c r="E139" s="7">
        <v>17</v>
      </c>
      <c r="F139" s="7">
        <v>12</v>
      </c>
      <c r="G139" s="7">
        <v>29</v>
      </c>
      <c r="H139" s="8">
        <v>775.09</v>
      </c>
      <c r="I139" s="8">
        <v>279.62</v>
      </c>
      <c r="J139" s="8">
        <v>188.44</v>
      </c>
      <c r="K139" s="7">
        <v>9</v>
      </c>
      <c r="L139" s="7">
        <v>7</v>
      </c>
      <c r="M139" s="7">
        <v>6</v>
      </c>
      <c r="N139" s="7">
        <v>6</v>
      </c>
      <c r="O139" s="7">
        <v>9</v>
      </c>
      <c r="P139" s="7">
        <v>3</v>
      </c>
      <c r="Q139" s="7">
        <v>0</v>
      </c>
      <c r="R139" s="7">
        <v>1</v>
      </c>
      <c r="S139" s="7">
        <v>3</v>
      </c>
    </row>
    <row r="140" spans="1:19">
      <c r="A140" s="6">
        <v>46161</v>
      </c>
      <c r="B140" s="7" t="s">
        <v>21</v>
      </c>
      <c r="C140" s="7" t="s">
        <v>45</v>
      </c>
      <c r="D140" s="7">
        <v>31</v>
      </c>
      <c r="E140" s="7">
        <v>15</v>
      </c>
      <c r="F140" s="7">
        <v>16</v>
      </c>
      <c r="G140" s="7">
        <v>30</v>
      </c>
      <c r="H140" s="8">
        <v>839.51</v>
      </c>
      <c r="I140" s="8">
        <v>288.06</v>
      </c>
      <c r="J140" s="8">
        <v>187.44</v>
      </c>
      <c r="K140" s="7">
        <v>7</v>
      </c>
      <c r="L140" s="7">
        <v>7</v>
      </c>
      <c r="M140" s="7">
        <v>7</v>
      </c>
      <c r="N140" s="7">
        <v>7</v>
      </c>
      <c r="O140" s="7">
        <v>10</v>
      </c>
      <c r="P140" s="7">
        <v>2</v>
      </c>
      <c r="Q140" s="7">
        <v>0</v>
      </c>
      <c r="R140" s="7">
        <v>1</v>
      </c>
      <c r="S140" s="7">
        <v>4</v>
      </c>
    </row>
    <row r="141" spans="1:19">
      <c r="A141" s="6">
        <v>46162</v>
      </c>
      <c r="B141" s="7" t="s">
        <v>21</v>
      </c>
      <c r="C141" s="7" t="s">
        <v>46</v>
      </c>
      <c r="D141" s="7">
        <v>46</v>
      </c>
      <c r="E141" s="7">
        <v>26</v>
      </c>
      <c r="F141" s="7">
        <v>20</v>
      </c>
      <c r="G141" s="7">
        <v>46</v>
      </c>
      <c r="H141" s="8">
        <v>1362.02</v>
      </c>
      <c r="I141" s="8">
        <v>446.56</v>
      </c>
      <c r="J141" s="8">
        <v>353.17</v>
      </c>
      <c r="K141" s="7">
        <v>15</v>
      </c>
      <c r="L141" s="7">
        <v>13</v>
      </c>
      <c r="M141" s="7">
        <v>10</v>
      </c>
      <c r="N141" s="7">
        <v>9</v>
      </c>
      <c r="O141" s="7">
        <v>18</v>
      </c>
      <c r="P141" s="7">
        <v>3</v>
      </c>
      <c r="Q141" s="7">
        <v>0</v>
      </c>
      <c r="R141" s="7">
        <v>3</v>
      </c>
      <c r="S141" s="7">
        <v>7</v>
      </c>
    </row>
    <row r="142" spans="1:19">
      <c r="A142" s="6">
        <v>46163</v>
      </c>
      <c r="B142" s="7" t="s">
        <v>21</v>
      </c>
      <c r="C142" s="7" t="s">
        <v>40</v>
      </c>
      <c r="D142" s="7">
        <v>40</v>
      </c>
      <c r="E142" s="7">
        <v>25</v>
      </c>
      <c r="F142" s="7">
        <v>15</v>
      </c>
      <c r="G142" s="7">
        <v>37</v>
      </c>
      <c r="H142" s="8">
        <v>1131.47</v>
      </c>
      <c r="I142" s="8">
        <v>409.89</v>
      </c>
      <c r="J142" s="8">
        <v>282.97000000000003</v>
      </c>
      <c r="K142" s="7">
        <v>11</v>
      </c>
      <c r="L142" s="7">
        <v>10</v>
      </c>
      <c r="M142" s="7">
        <v>9</v>
      </c>
      <c r="N142" s="7">
        <v>8</v>
      </c>
      <c r="O142" s="7">
        <v>14</v>
      </c>
      <c r="P142" s="7">
        <v>2</v>
      </c>
      <c r="Q142" s="7">
        <v>0</v>
      </c>
      <c r="R142" s="7">
        <v>2</v>
      </c>
      <c r="S142" s="7">
        <v>5</v>
      </c>
    </row>
    <row r="143" spans="1:19">
      <c r="A143" s="6">
        <v>46164</v>
      </c>
      <c r="B143" s="7" t="s">
        <v>21</v>
      </c>
      <c r="C143" s="7" t="s">
        <v>41</v>
      </c>
      <c r="D143" s="7">
        <v>65</v>
      </c>
      <c r="E143" s="7">
        <v>35</v>
      </c>
      <c r="F143" s="7">
        <v>30</v>
      </c>
      <c r="G143" s="7">
        <v>64</v>
      </c>
      <c r="H143" s="8">
        <v>1945.55</v>
      </c>
      <c r="I143" s="8">
        <v>660.31</v>
      </c>
      <c r="J143" s="8">
        <v>409.34</v>
      </c>
      <c r="K143" s="7">
        <v>18</v>
      </c>
      <c r="L143" s="7">
        <v>14</v>
      </c>
      <c r="M143" s="7">
        <v>14</v>
      </c>
      <c r="N143" s="7">
        <v>14</v>
      </c>
      <c r="O143" s="7">
        <v>27</v>
      </c>
      <c r="P143" s="7">
        <v>4</v>
      </c>
      <c r="Q143" s="7">
        <v>1</v>
      </c>
      <c r="R143" s="7">
        <v>4</v>
      </c>
      <c r="S143" s="7">
        <v>12</v>
      </c>
    </row>
    <row r="144" spans="1:19">
      <c r="A144" s="6">
        <v>46165</v>
      </c>
      <c r="B144" s="7" t="s">
        <v>21</v>
      </c>
      <c r="C144" s="7" t="s">
        <v>42</v>
      </c>
      <c r="D144" s="7">
        <v>94</v>
      </c>
      <c r="E144" s="7">
        <v>59</v>
      </c>
      <c r="F144" s="7">
        <v>35</v>
      </c>
      <c r="G144" s="7">
        <v>89</v>
      </c>
      <c r="H144" s="8">
        <v>2549.9899999999998</v>
      </c>
      <c r="I144" s="8">
        <v>870.37</v>
      </c>
      <c r="J144" s="8">
        <v>660.23</v>
      </c>
      <c r="K144" s="7">
        <v>21</v>
      </c>
      <c r="L144" s="7">
        <v>23</v>
      </c>
      <c r="M144" s="7">
        <v>18</v>
      </c>
      <c r="N144" s="7">
        <v>20</v>
      </c>
      <c r="O144" s="7">
        <v>32</v>
      </c>
      <c r="P144" s="7">
        <v>12</v>
      </c>
      <c r="Q144" s="7">
        <v>2</v>
      </c>
      <c r="R144" s="7">
        <v>3</v>
      </c>
      <c r="S144" s="7">
        <v>16</v>
      </c>
    </row>
    <row r="145" spans="1:19">
      <c r="A145" s="6">
        <v>46166</v>
      </c>
      <c r="B145" s="7" t="s">
        <v>21</v>
      </c>
      <c r="C145" s="7" t="s">
        <v>43</v>
      </c>
      <c r="D145" s="7">
        <v>59</v>
      </c>
      <c r="E145" s="7">
        <v>32</v>
      </c>
      <c r="F145" s="7">
        <v>27</v>
      </c>
      <c r="G145" s="7">
        <v>60</v>
      </c>
      <c r="H145" s="8">
        <v>1803.45</v>
      </c>
      <c r="I145" s="8">
        <v>576.52</v>
      </c>
      <c r="J145" s="8">
        <v>419.76</v>
      </c>
      <c r="K145" s="7">
        <v>17</v>
      </c>
      <c r="L145" s="7">
        <v>14</v>
      </c>
      <c r="M145" s="7">
        <v>11</v>
      </c>
      <c r="N145" s="7">
        <v>12</v>
      </c>
      <c r="O145" s="7">
        <v>21</v>
      </c>
      <c r="P145" s="7">
        <v>5</v>
      </c>
      <c r="Q145" s="7">
        <v>1</v>
      </c>
      <c r="R145" s="7">
        <v>4</v>
      </c>
      <c r="S145" s="7">
        <v>10</v>
      </c>
    </row>
    <row r="146" spans="1:19">
      <c r="A146" s="6">
        <v>46167</v>
      </c>
      <c r="B146" s="7" t="s">
        <v>21</v>
      </c>
      <c r="C146" s="7" t="s">
        <v>44</v>
      </c>
      <c r="D146" s="7">
        <v>38</v>
      </c>
      <c r="E146" s="7">
        <v>24</v>
      </c>
      <c r="F146" s="7">
        <v>14</v>
      </c>
      <c r="G146" s="7">
        <v>36</v>
      </c>
      <c r="H146" s="8">
        <v>1105.51</v>
      </c>
      <c r="I146" s="8">
        <v>397.3</v>
      </c>
      <c r="J146" s="8">
        <v>263.7</v>
      </c>
      <c r="K146" s="7">
        <v>7</v>
      </c>
      <c r="L146" s="7">
        <v>8</v>
      </c>
      <c r="M146" s="7">
        <v>9</v>
      </c>
      <c r="N146" s="7">
        <v>9</v>
      </c>
      <c r="O146" s="7">
        <v>13</v>
      </c>
      <c r="P146" s="7">
        <v>2</v>
      </c>
      <c r="Q146" s="7">
        <v>0</v>
      </c>
      <c r="R146" s="7">
        <v>3</v>
      </c>
      <c r="S146" s="7">
        <v>5</v>
      </c>
    </row>
    <row r="147" spans="1:19">
      <c r="A147" s="6">
        <v>46168</v>
      </c>
      <c r="B147" s="7" t="s">
        <v>21</v>
      </c>
      <c r="C147" s="7" t="s">
        <v>45</v>
      </c>
      <c r="D147" s="7">
        <v>45</v>
      </c>
      <c r="E147" s="7">
        <v>25</v>
      </c>
      <c r="F147" s="7">
        <v>20</v>
      </c>
      <c r="G147" s="7">
        <v>45</v>
      </c>
      <c r="H147" s="8">
        <v>1339.93</v>
      </c>
      <c r="I147" s="8">
        <v>448.76</v>
      </c>
      <c r="J147" s="8">
        <v>287.57</v>
      </c>
      <c r="K147" s="7">
        <v>10</v>
      </c>
      <c r="L147" s="7">
        <v>11</v>
      </c>
      <c r="M147" s="7">
        <v>11</v>
      </c>
      <c r="N147" s="7">
        <v>10</v>
      </c>
      <c r="O147" s="7">
        <v>18</v>
      </c>
      <c r="P147" s="7">
        <v>4</v>
      </c>
      <c r="Q147" s="7">
        <v>1</v>
      </c>
      <c r="R147" s="7">
        <v>3</v>
      </c>
      <c r="S147" s="7">
        <v>5</v>
      </c>
    </row>
    <row r="148" spans="1:19">
      <c r="A148" s="6">
        <v>46169</v>
      </c>
      <c r="B148" s="7" t="s">
        <v>21</v>
      </c>
      <c r="C148" s="7" t="s">
        <v>46</v>
      </c>
      <c r="D148" s="7">
        <v>43</v>
      </c>
      <c r="E148" s="7">
        <v>21</v>
      </c>
      <c r="F148" s="7">
        <v>22</v>
      </c>
      <c r="G148" s="7">
        <v>40</v>
      </c>
      <c r="H148" s="8">
        <v>1124.9000000000001</v>
      </c>
      <c r="I148" s="8">
        <v>401.51</v>
      </c>
      <c r="J148" s="8">
        <v>259.22000000000003</v>
      </c>
      <c r="K148" s="7">
        <v>12</v>
      </c>
      <c r="L148" s="7">
        <v>12</v>
      </c>
      <c r="M148" s="7">
        <v>8</v>
      </c>
      <c r="N148" s="7">
        <v>10</v>
      </c>
      <c r="O148" s="7">
        <v>11</v>
      </c>
      <c r="P148" s="7">
        <v>3</v>
      </c>
      <c r="Q148" s="7">
        <v>0</v>
      </c>
      <c r="R148" s="7">
        <v>3</v>
      </c>
      <c r="S148" s="7">
        <v>6</v>
      </c>
    </row>
    <row r="149" spans="1:19">
      <c r="A149" s="6">
        <v>46170</v>
      </c>
      <c r="B149" s="7" t="s">
        <v>21</v>
      </c>
      <c r="C149" s="7" t="s">
        <v>40</v>
      </c>
      <c r="D149" s="7">
        <v>42</v>
      </c>
      <c r="E149" s="7">
        <v>21</v>
      </c>
      <c r="F149" s="7">
        <v>21</v>
      </c>
      <c r="G149" s="7">
        <v>41</v>
      </c>
      <c r="H149" s="8">
        <v>1212.7</v>
      </c>
      <c r="I149" s="8">
        <v>422.06</v>
      </c>
      <c r="J149" s="8">
        <v>260.89999999999998</v>
      </c>
      <c r="K149" s="7">
        <v>12</v>
      </c>
      <c r="L149" s="7">
        <v>12</v>
      </c>
      <c r="M149" s="7">
        <v>9</v>
      </c>
      <c r="N149" s="7">
        <v>8</v>
      </c>
      <c r="O149" s="7">
        <v>12</v>
      </c>
      <c r="P149" s="7">
        <v>5</v>
      </c>
      <c r="Q149" s="7">
        <v>0</v>
      </c>
      <c r="R149" s="7">
        <v>2</v>
      </c>
      <c r="S149" s="7">
        <v>8</v>
      </c>
    </row>
    <row r="150" spans="1:19">
      <c r="A150" s="6">
        <v>46171</v>
      </c>
      <c r="B150" s="7" t="s">
        <v>21</v>
      </c>
      <c r="C150" s="7" t="s">
        <v>41</v>
      </c>
      <c r="D150" s="7">
        <v>70</v>
      </c>
      <c r="E150" s="7">
        <v>41</v>
      </c>
      <c r="F150" s="7">
        <v>29</v>
      </c>
      <c r="G150" s="7">
        <v>68</v>
      </c>
      <c r="H150" s="8">
        <v>1980.06</v>
      </c>
      <c r="I150" s="8">
        <v>636.84</v>
      </c>
      <c r="J150" s="8">
        <v>438.08</v>
      </c>
      <c r="K150" s="7">
        <v>18</v>
      </c>
      <c r="L150" s="7">
        <v>18</v>
      </c>
      <c r="M150" s="7">
        <v>14</v>
      </c>
      <c r="N150" s="7">
        <v>13</v>
      </c>
      <c r="O150" s="7">
        <v>22</v>
      </c>
      <c r="P150" s="7">
        <v>5</v>
      </c>
      <c r="Q150" s="7">
        <v>1</v>
      </c>
      <c r="R150" s="7">
        <v>4</v>
      </c>
      <c r="S150" s="7">
        <v>9</v>
      </c>
    </row>
    <row r="151" spans="1:19">
      <c r="A151" s="6">
        <v>46172</v>
      </c>
      <c r="B151" s="7" t="s">
        <v>21</v>
      </c>
      <c r="C151" s="7" t="s">
        <v>42</v>
      </c>
      <c r="D151" s="7">
        <v>91</v>
      </c>
      <c r="E151" s="7">
        <v>54</v>
      </c>
      <c r="F151" s="7">
        <v>37</v>
      </c>
      <c r="G151" s="7">
        <v>88</v>
      </c>
      <c r="H151" s="8">
        <v>2464.7199999999998</v>
      </c>
      <c r="I151" s="8">
        <v>887.44</v>
      </c>
      <c r="J151" s="8">
        <v>651.46</v>
      </c>
      <c r="K151" s="7">
        <v>30</v>
      </c>
      <c r="L151" s="7">
        <v>24</v>
      </c>
      <c r="M151" s="7">
        <v>17</v>
      </c>
      <c r="N151" s="7">
        <v>19</v>
      </c>
      <c r="O151" s="7">
        <v>26</v>
      </c>
      <c r="P151" s="7">
        <v>7</v>
      </c>
      <c r="Q151" s="7">
        <v>1</v>
      </c>
      <c r="R151" s="7">
        <v>5</v>
      </c>
      <c r="S151" s="7">
        <v>9</v>
      </c>
    </row>
    <row r="152" spans="1:19">
      <c r="A152" s="6">
        <v>46173</v>
      </c>
      <c r="B152" s="7" t="s">
        <v>21</v>
      </c>
      <c r="C152" s="7" t="s">
        <v>43</v>
      </c>
      <c r="D152" s="7">
        <v>54</v>
      </c>
      <c r="E152" s="7">
        <v>34</v>
      </c>
      <c r="F152" s="7">
        <v>20</v>
      </c>
      <c r="G152" s="7">
        <v>52</v>
      </c>
      <c r="H152" s="8">
        <v>1402.94</v>
      </c>
      <c r="I152" s="8">
        <v>485.77</v>
      </c>
      <c r="J152" s="8">
        <v>344.6</v>
      </c>
      <c r="K152" s="7">
        <v>12</v>
      </c>
      <c r="L152" s="7">
        <v>12</v>
      </c>
      <c r="M152" s="7">
        <v>10</v>
      </c>
      <c r="N152" s="7">
        <v>14</v>
      </c>
      <c r="O152" s="7">
        <v>17</v>
      </c>
      <c r="P152" s="7">
        <v>6</v>
      </c>
      <c r="Q152" s="7">
        <v>1</v>
      </c>
      <c r="R152" s="7">
        <v>4</v>
      </c>
      <c r="S152" s="7">
        <v>7</v>
      </c>
    </row>
    <row r="153" spans="1:19">
      <c r="A153" s="6">
        <v>46174</v>
      </c>
      <c r="B153" s="7" t="s">
        <v>22</v>
      </c>
      <c r="C153" s="7" t="s">
        <v>44</v>
      </c>
      <c r="D153" s="7">
        <v>37</v>
      </c>
      <c r="E153" s="7">
        <v>19</v>
      </c>
      <c r="F153" s="7">
        <v>18</v>
      </c>
      <c r="G153" s="7">
        <v>38</v>
      </c>
      <c r="H153" s="8">
        <v>1191.1199999999999</v>
      </c>
      <c r="I153" s="8">
        <v>383.31</v>
      </c>
      <c r="J153" s="8">
        <v>273.05</v>
      </c>
      <c r="K153" s="7">
        <v>13</v>
      </c>
      <c r="L153" s="7">
        <v>9</v>
      </c>
      <c r="M153" s="7">
        <v>8</v>
      </c>
      <c r="N153" s="7">
        <v>10</v>
      </c>
      <c r="O153" s="7">
        <v>16</v>
      </c>
      <c r="P153" s="7">
        <v>3</v>
      </c>
      <c r="Q153" s="7">
        <v>0</v>
      </c>
      <c r="R153" s="7">
        <v>2</v>
      </c>
      <c r="S153" s="7">
        <v>6</v>
      </c>
    </row>
    <row r="154" spans="1:19">
      <c r="A154" s="6">
        <v>46175</v>
      </c>
      <c r="B154" s="7" t="s">
        <v>22</v>
      </c>
      <c r="C154" s="7" t="s">
        <v>45</v>
      </c>
      <c r="D154" s="7">
        <v>42</v>
      </c>
      <c r="E154" s="7">
        <v>21</v>
      </c>
      <c r="F154" s="7">
        <v>21</v>
      </c>
      <c r="G154" s="7">
        <v>41</v>
      </c>
      <c r="H154" s="8">
        <v>1073.52</v>
      </c>
      <c r="I154" s="8">
        <v>368.42</v>
      </c>
      <c r="J154" s="8">
        <v>263.58999999999997</v>
      </c>
      <c r="K154" s="7">
        <v>11</v>
      </c>
      <c r="L154" s="7">
        <v>12</v>
      </c>
      <c r="M154" s="7">
        <v>9</v>
      </c>
      <c r="N154" s="7">
        <v>11</v>
      </c>
      <c r="O154" s="7">
        <v>14</v>
      </c>
      <c r="P154" s="7">
        <v>5</v>
      </c>
      <c r="Q154" s="7">
        <v>1</v>
      </c>
      <c r="R154" s="7">
        <v>2</v>
      </c>
      <c r="S154" s="7">
        <v>6</v>
      </c>
    </row>
    <row r="155" spans="1:19">
      <c r="A155" s="6">
        <v>46176</v>
      </c>
      <c r="B155" s="7" t="s">
        <v>22</v>
      </c>
      <c r="C155" s="7" t="s">
        <v>46</v>
      </c>
      <c r="D155" s="7">
        <v>50</v>
      </c>
      <c r="E155" s="7">
        <v>25</v>
      </c>
      <c r="F155" s="7">
        <v>25</v>
      </c>
      <c r="G155" s="7">
        <v>50</v>
      </c>
      <c r="H155" s="8">
        <v>1397.74</v>
      </c>
      <c r="I155" s="8">
        <v>475.18</v>
      </c>
      <c r="J155" s="8">
        <v>346.64</v>
      </c>
      <c r="K155" s="7">
        <v>12</v>
      </c>
      <c r="L155" s="7">
        <v>14</v>
      </c>
      <c r="M155" s="7">
        <v>12</v>
      </c>
      <c r="N155" s="7">
        <v>13</v>
      </c>
      <c r="O155" s="7">
        <v>15</v>
      </c>
      <c r="P155" s="7">
        <v>6</v>
      </c>
      <c r="Q155" s="7">
        <v>1</v>
      </c>
      <c r="R155" s="7">
        <v>2</v>
      </c>
      <c r="S155" s="7">
        <v>7</v>
      </c>
    </row>
    <row r="156" spans="1:19">
      <c r="A156" s="6">
        <v>46177</v>
      </c>
      <c r="B156" s="7" t="s">
        <v>22</v>
      </c>
      <c r="C156" s="7" t="s">
        <v>40</v>
      </c>
      <c r="D156" s="7">
        <v>58</v>
      </c>
      <c r="E156" s="7">
        <v>32</v>
      </c>
      <c r="F156" s="7">
        <v>26</v>
      </c>
      <c r="G156" s="7">
        <v>59</v>
      </c>
      <c r="H156" s="8">
        <v>1631.77</v>
      </c>
      <c r="I156" s="8">
        <v>587.07000000000005</v>
      </c>
      <c r="J156" s="8">
        <v>395.24</v>
      </c>
      <c r="K156" s="7">
        <v>17</v>
      </c>
      <c r="L156" s="7">
        <v>13</v>
      </c>
      <c r="M156" s="7">
        <v>14</v>
      </c>
      <c r="N156" s="7">
        <v>14</v>
      </c>
      <c r="O156" s="7">
        <v>19</v>
      </c>
      <c r="P156" s="7">
        <v>6</v>
      </c>
      <c r="Q156" s="7">
        <v>1</v>
      </c>
      <c r="R156" s="7">
        <v>2</v>
      </c>
      <c r="S156" s="7">
        <v>13</v>
      </c>
    </row>
    <row r="157" spans="1:19">
      <c r="A157" s="6">
        <v>46178</v>
      </c>
      <c r="B157" s="7" t="s">
        <v>22</v>
      </c>
      <c r="C157" s="7" t="s">
        <v>41</v>
      </c>
      <c r="D157" s="7">
        <v>64</v>
      </c>
      <c r="E157" s="7">
        <v>37</v>
      </c>
      <c r="F157" s="7">
        <v>27</v>
      </c>
      <c r="G157" s="7">
        <v>64</v>
      </c>
      <c r="H157" s="8">
        <v>2130.84</v>
      </c>
      <c r="I157" s="8">
        <v>717.08</v>
      </c>
      <c r="J157" s="8">
        <v>448.82</v>
      </c>
      <c r="K157" s="7">
        <v>15</v>
      </c>
      <c r="L157" s="7">
        <v>17</v>
      </c>
      <c r="M157" s="7">
        <v>14</v>
      </c>
      <c r="N157" s="7">
        <v>15</v>
      </c>
      <c r="O157" s="7">
        <v>23</v>
      </c>
      <c r="P157" s="7">
        <v>6</v>
      </c>
      <c r="Q157" s="7">
        <v>1</v>
      </c>
      <c r="R157" s="7">
        <v>3</v>
      </c>
      <c r="S157" s="7">
        <v>12</v>
      </c>
    </row>
    <row r="158" spans="1:19">
      <c r="A158" s="6">
        <v>46179</v>
      </c>
      <c r="B158" s="7" t="s">
        <v>22</v>
      </c>
      <c r="C158" s="7" t="s">
        <v>42</v>
      </c>
      <c r="D158" s="7">
        <v>82</v>
      </c>
      <c r="E158" s="7">
        <v>52</v>
      </c>
      <c r="F158" s="7">
        <v>30</v>
      </c>
      <c r="G158" s="7">
        <v>77</v>
      </c>
      <c r="H158" s="8">
        <v>2309.6799999999998</v>
      </c>
      <c r="I158" s="8">
        <v>838.61</v>
      </c>
      <c r="J158" s="8">
        <v>501.12</v>
      </c>
      <c r="K158" s="7">
        <v>26</v>
      </c>
      <c r="L158" s="7">
        <v>18</v>
      </c>
      <c r="M158" s="7">
        <v>16</v>
      </c>
      <c r="N158" s="7">
        <v>17</v>
      </c>
      <c r="O158" s="7">
        <v>24</v>
      </c>
      <c r="P158" s="7">
        <v>8</v>
      </c>
      <c r="Q158" s="7">
        <v>1</v>
      </c>
      <c r="R158" s="7">
        <v>4</v>
      </c>
      <c r="S158" s="7">
        <v>12</v>
      </c>
    </row>
    <row r="159" spans="1:19">
      <c r="A159" s="6">
        <v>46180</v>
      </c>
      <c r="B159" s="7" t="s">
        <v>22</v>
      </c>
      <c r="C159" s="7" t="s">
        <v>43</v>
      </c>
      <c r="D159" s="7">
        <v>62</v>
      </c>
      <c r="E159" s="7">
        <v>37</v>
      </c>
      <c r="F159" s="7">
        <v>25</v>
      </c>
      <c r="G159" s="7">
        <v>60</v>
      </c>
      <c r="H159" s="8">
        <v>1821.67</v>
      </c>
      <c r="I159" s="8">
        <v>584.30999999999995</v>
      </c>
      <c r="J159" s="8">
        <v>475.37</v>
      </c>
      <c r="K159" s="7">
        <v>17</v>
      </c>
      <c r="L159" s="7">
        <v>17</v>
      </c>
      <c r="M159" s="7">
        <v>11</v>
      </c>
      <c r="N159" s="7">
        <v>16</v>
      </c>
      <c r="O159" s="7">
        <v>19</v>
      </c>
      <c r="P159" s="7">
        <v>4</v>
      </c>
      <c r="Q159" s="7">
        <v>1</v>
      </c>
      <c r="R159" s="7">
        <v>2</v>
      </c>
      <c r="S159" s="7">
        <v>10</v>
      </c>
    </row>
    <row r="160" spans="1:19">
      <c r="A160" s="6">
        <v>46181</v>
      </c>
      <c r="B160" s="7" t="s">
        <v>22</v>
      </c>
      <c r="C160" s="7" t="s">
        <v>44</v>
      </c>
      <c r="D160" s="7">
        <v>36</v>
      </c>
      <c r="E160" s="7">
        <v>22</v>
      </c>
      <c r="F160" s="7">
        <v>14</v>
      </c>
      <c r="G160" s="7">
        <v>36</v>
      </c>
      <c r="H160" s="8">
        <v>1011.34</v>
      </c>
      <c r="I160" s="8">
        <v>320.05</v>
      </c>
      <c r="J160" s="8">
        <v>249.65</v>
      </c>
      <c r="K160" s="7">
        <v>8</v>
      </c>
      <c r="L160" s="7">
        <v>10</v>
      </c>
      <c r="M160" s="7">
        <v>7</v>
      </c>
      <c r="N160" s="7">
        <v>9</v>
      </c>
      <c r="O160" s="7">
        <v>11</v>
      </c>
      <c r="P160" s="7">
        <v>4</v>
      </c>
      <c r="Q160" s="7">
        <v>0</v>
      </c>
      <c r="R160" s="7">
        <v>2</v>
      </c>
      <c r="S160" s="7">
        <v>4</v>
      </c>
    </row>
    <row r="161" spans="1:19">
      <c r="A161" s="6">
        <v>46182</v>
      </c>
      <c r="B161" s="7" t="s">
        <v>22</v>
      </c>
      <c r="C161" s="7" t="s">
        <v>45</v>
      </c>
      <c r="D161" s="7">
        <v>47</v>
      </c>
      <c r="E161" s="7">
        <v>24</v>
      </c>
      <c r="F161" s="7">
        <v>23</v>
      </c>
      <c r="G161" s="7">
        <v>45</v>
      </c>
      <c r="H161" s="8">
        <v>1235.52</v>
      </c>
      <c r="I161" s="8">
        <v>417.45</v>
      </c>
      <c r="J161" s="8">
        <v>278.91000000000003</v>
      </c>
      <c r="K161" s="7">
        <v>14</v>
      </c>
      <c r="L161" s="7">
        <v>12</v>
      </c>
      <c r="M161" s="7">
        <v>10</v>
      </c>
      <c r="N161" s="7">
        <v>11</v>
      </c>
      <c r="O161" s="7">
        <v>16</v>
      </c>
      <c r="P161" s="7">
        <v>5</v>
      </c>
      <c r="Q161" s="7">
        <v>1</v>
      </c>
      <c r="R161" s="7">
        <v>2</v>
      </c>
      <c r="S161" s="7">
        <v>9</v>
      </c>
    </row>
    <row r="162" spans="1:19">
      <c r="A162" s="6">
        <v>46183</v>
      </c>
      <c r="B162" s="7" t="s">
        <v>22</v>
      </c>
      <c r="C162" s="7" t="s">
        <v>46</v>
      </c>
      <c r="D162" s="7">
        <v>49</v>
      </c>
      <c r="E162" s="7">
        <v>29</v>
      </c>
      <c r="F162" s="7">
        <v>20</v>
      </c>
      <c r="G162" s="7">
        <v>49</v>
      </c>
      <c r="H162" s="8">
        <v>1274.42</v>
      </c>
      <c r="I162" s="8">
        <v>409.98</v>
      </c>
      <c r="J162" s="8">
        <v>276.64</v>
      </c>
      <c r="K162" s="7">
        <v>12</v>
      </c>
      <c r="L162" s="7">
        <v>12</v>
      </c>
      <c r="M162" s="7">
        <v>11</v>
      </c>
      <c r="N162" s="7">
        <v>11</v>
      </c>
      <c r="O162" s="7">
        <v>17</v>
      </c>
      <c r="P162" s="7">
        <v>3</v>
      </c>
      <c r="Q162" s="7">
        <v>0</v>
      </c>
      <c r="R162" s="7">
        <v>2</v>
      </c>
      <c r="S162" s="7">
        <v>6</v>
      </c>
    </row>
    <row r="163" spans="1:19">
      <c r="A163" s="6">
        <v>46184</v>
      </c>
      <c r="B163" s="7" t="s">
        <v>22</v>
      </c>
      <c r="C163" s="7" t="s">
        <v>40</v>
      </c>
      <c r="D163" s="7">
        <v>42</v>
      </c>
      <c r="E163" s="7">
        <v>22</v>
      </c>
      <c r="F163" s="7">
        <v>20</v>
      </c>
      <c r="G163" s="7">
        <v>42</v>
      </c>
      <c r="H163" s="8">
        <v>1322.97</v>
      </c>
      <c r="I163" s="8">
        <v>453.44</v>
      </c>
      <c r="J163" s="8">
        <v>316.69</v>
      </c>
      <c r="K163" s="7">
        <v>9</v>
      </c>
      <c r="L163" s="7">
        <v>10</v>
      </c>
      <c r="M163" s="7">
        <v>9</v>
      </c>
      <c r="N163" s="7">
        <v>8</v>
      </c>
      <c r="O163" s="7">
        <v>14</v>
      </c>
      <c r="P163" s="7">
        <v>3</v>
      </c>
      <c r="Q163" s="7">
        <v>0</v>
      </c>
      <c r="R163" s="7">
        <v>1</v>
      </c>
      <c r="S163" s="7">
        <v>8</v>
      </c>
    </row>
    <row r="164" spans="1:19">
      <c r="A164" s="6">
        <v>46185</v>
      </c>
      <c r="B164" s="7" t="s">
        <v>22</v>
      </c>
      <c r="C164" s="7" t="s">
        <v>41</v>
      </c>
      <c r="D164" s="7">
        <v>61</v>
      </c>
      <c r="E164" s="7">
        <v>32</v>
      </c>
      <c r="F164" s="7">
        <v>29</v>
      </c>
      <c r="G164" s="7">
        <v>59</v>
      </c>
      <c r="H164" s="8">
        <v>1919.82</v>
      </c>
      <c r="I164" s="8">
        <v>651.65</v>
      </c>
      <c r="J164" s="8">
        <v>412.68</v>
      </c>
      <c r="K164" s="7">
        <v>12</v>
      </c>
      <c r="L164" s="7">
        <v>17</v>
      </c>
      <c r="M164" s="7">
        <v>12</v>
      </c>
      <c r="N164" s="7">
        <v>13</v>
      </c>
      <c r="O164" s="7">
        <v>21</v>
      </c>
      <c r="P164" s="7">
        <v>4</v>
      </c>
      <c r="Q164" s="7">
        <v>1</v>
      </c>
      <c r="R164" s="7">
        <v>3</v>
      </c>
      <c r="S164" s="7">
        <v>11</v>
      </c>
    </row>
    <row r="165" spans="1:19">
      <c r="A165" s="6">
        <v>46186</v>
      </c>
      <c r="B165" s="7" t="s">
        <v>22</v>
      </c>
      <c r="C165" s="7" t="s">
        <v>42</v>
      </c>
      <c r="D165" s="7">
        <v>93</v>
      </c>
      <c r="E165" s="7">
        <v>51</v>
      </c>
      <c r="F165" s="7">
        <v>42</v>
      </c>
      <c r="G165" s="7">
        <v>88</v>
      </c>
      <c r="H165" s="8">
        <v>2480.3000000000002</v>
      </c>
      <c r="I165" s="8">
        <v>877.42</v>
      </c>
      <c r="J165" s="8">
        <v>643.38</v>
      </c>
      <c r="K165" s="7">
        <v>22</v>
      </c>
      <c r="L165" s="7">
        <v>26</v>
      </c>
      <c r="M165" s="7">
        <v>16</v>
      </c>
      <c r="N165" s="7">
        <v>22</v>
      </c>
      <c r="O165" s="7">
        <v>31</v>
      </c>
      <c r="P165" s="7">
        <v>12</v>
      </c>
      <c r="Q165" s="7">
        <v>2</v>
      </c>
      <c r="R165" s="7">
        <v>3</v>
      </c>
      <c r="S165" s="7">
        <v>18</v>
      </c>
    </row>
    <row r="166" spans="1:19">
      <c r="A166" s="6">
        <v>46187</v>
      </c>
      <c r="B166" s="7" t="s">
        <v>22</v>
      </c>
      <c r="C166" s="7" t="s">
        <v>43</v>
      </c>
      <c r="D166" s="7">
        <v>55</v>
      </c>
      <c r="E166" s="7">
        <v>31</v>
      </c>
      <c r="F166" s="7">
        <v>24</v>
      </c>
      <c r="G166" s="7">
        <v>53</v>
      </c>
      <c r="H166" s="8">
        <v>1611.22</v>
      </c>
      <c r="I166" s="8">
        <v>542.91</v>
      </c>
      <c r="J166" s="8">
        <v>434.45</v>
      </c>
      <c r="K166" s="7">
        <v>16</v>
      </c>
      <c r="L166" s="7">
        <v>13</v>
      </c>
      <c r="M166" s="7">
        <v>13</v>
      </c>
      <c r="N166" s="7">
        <v>13</v>
      </c>
      <c r="O166" s="7">
        <v>17</v>
      </c>
      <c r="P166" s="7">
        <v>6</v>
      </c>
      <c r="Q166" s="7">
        <v>0</v>
      </c>
      <c r="R166" s="7">
        <v>3</v>
      </c>
      <c r="S166" s="7">
        <v>6</v>
      </c>
    </row>
    <row r="167" spans="1:19">
      <c r="A167" s="6">
        <v>46188</v>
      </c>
      <c r="B167" s="7" t="s">
        <v>22</v>
      </c>
      <c r="C167" s="7" t="s">
        <v>44</v>
      </c>
      <c r="D167" s="7">
        <v>51</v>
      </c>
      <c r="E167" s="7">
        <v>31</v>
      </c>
      <c r="F167" s="7">
        <v>20</v>
      </c>
      <c r="G167" s="7">
        <v>48</v>
      </c>
      <c r="H167" s="8">
        <v>1241.0999999999999</v>
      </c>
      <c r="I167" s="8">
        <v>412.72</v>
      </c>
      <c r="J167" s="8">
        <v>281.56</v>
      </c>
      <c r="K167" s="7">
        <v>13</v>
      </c>
      <c r="L167" s="7">
        <v>12</v>
      </c>
      <c r="M167" s="7">
        <v>11</v>
      </c>
      <c r="N167" s="7">
        <v>10</v>
      </c>
      <c r="O167" s="7">
        <v>15</v>
      </c>
      <c r="P167" s="7">
        <v>6</v>
      </c>
      <c r="Q167" s="7">
        <v>0</v>
      </c>
      <c r="R167" s="7">
        <v>4</v>
      </c>
      <c r="S167" s="7">
        <v>9</v>
      </c>
    </row>
    <row r="168" spans="1:19">
      <c r="A168" s="6">
        <v>46189</v>
      </c>
      <c r="B168" s="7" t="s">
        <v>22</v>
      </c>
      <c r="C168" s="7" t="s">
        <v>45</v>
      </c>
      <c r="D168" s="7">
        <v>51</v>
      </c>
      <c r="E168" s="7">
        <v>25</v>
      </c>
      <c r="F168" s="7">
        <v>26</v>
      </c>
      <c r="G168" s="7">
        <v>52</v>
      </c>
      <c r="H168" s="8">
        <v>1596.52</v>
      </c>
      <c r="I168" s="8">
        <v>513.03</v>
      </c>
      <c r="J168" s="8">
        <v>418.23</v>
      </c>
      <c r="K168" s="7">
        <v>12</v>
      </c>
      <c r="L168" s="7">
        <v>15</v>
      </c>
      <c r="M168" s="7">
        <v>12</v>
      </c>
      <c r="N168" s="7">
        <v>13</v>
      </c>
      <c r="O168" s="7">
        <v>19</v>
      </c>
      <c r="P168" s="7">
        <v>5</v>
      </c>
      <c r="Q168" s="7">
        <v>1</v>
      </c>
      <c r="R168" s="7">
        <v>3</v>
      </c>
      <c r="S168" s="7">
        <v>7</v>
      </c>
    </row>
    <row r="169" spans="1:19">
      <c r="A169" s="6">
        <v>46190</v>
      </c>
      <c r="B169" s="7" t="s">
        <v>22</v>
      </c>
      <c r="C169" s="7" t="s">
        <v>46</v>
      </c>
      <c r="D169" s="7">
        <v>44</v>
      </c>
      <c r="E169" s="7">
        <v>25</v>
      </c>
      <c r="F169" s="7">
        <v>19</v>
      </c>
      <c r="G169" s="7">
        <v>44</v>
      </c>
      <c r="H169" s="8">
        <v>1354.35</v>
      </c>
      <c r="I169" s="8">
        <v>432.92</v>
      </c>
      <c r="J169" s="8">
        <v>326.31</v>
      </c>
      <c r="K169" s="7">
        <v>11</v>
      </c>
      <c r="L169" s="7">
        <v>13</v>
      </c>
      <c r="M169" s="7">
        <v>9</v>
      </c>
      <c r="N169" s="7">
        <v>12</v>
      </c>
      <c r="O169" s="7">
        <v>14</v>
      </c>
      <c r="P169" s="7">
        <v>3</v>
      </c>
      <c r="Q169" s="7">
        <v>0</v>
      </c>
      <c r="R169" s="7">
        <v>3</v>
      </c>
      <c r="S169" s="7">
        <v>8</v>
      </c>
    </row>
    <row r="170" spans="1:19">
      <c r="A170" s="6">
        <v>46191</v>
      </c>
      <c r="B170" s="7" t="s">
        <v>22</v>
      </c>
      <c r="C170" s="7" t="s">
        <v>40</v>
      </c>
      <c r="D170" s="7">
        <v>43</v>
      </c>
      <c r="E170" s="7">
        <v>25</v>
      </c>
      <c r="F170" s="7">
        <v>18</v>
      </c>
      <c r="G170" s="7">
        <v>40</v>
      </c>
      <c r="H170" s="8">
        <v>1148.26</v>
      </c>
      <c r="I170" s="8">
        <v>374.21</v>
      </c>
      <c r="J170" s="8">
        <v>270.74</v>
      </c>
      <c r="K170" s="7">
        <v>9</v>
      </c>
      <c r="L170" s="7">
        <v>10</v>
      </c>
      <c r="M170" s="7">
        <v>10</v>
      </c>
      <c r="N170" s="7">
        <v>9</v>
      </c>
      <c r="O170" s="7">
        <v>14</v>
      </c>
      <c r="P170" s="7">
        <v>4</v>
      </c>
      <c r="Q170" s="7">
        <v>1</v>
      </c>
      <c r="R170" s="7">
        <v>2</v>
      </c>
      <c r="S170" s="7">
        <v>6</v>
      </c>
    </row>
    <row r="171" spans="1:19">
      <c r="A171" s="6">
        <v>46192</v>
      </c>
      <c r="B171" s="7" t="s">
        <v>22</v>
      </c>
      <c r="C171" s="7" t="s">
        <v>41</v>
      </c>
      <c r="D171" s="7">
        <v>75</v>
      </c>
      <c r="E171" s="7">
        <v>47</v>
      </c>
      <c r="F171" s="7">
        <v>28</v>
      </c>
      <c r="G171" s="7">
        <v>70</v>
      </c>
      <c r="H171" s="8">
        <v>2254.23</v>
      </c>
      <c r="I171" s="8">
        <v>761.88</v>
      </c>
      <c r="J171" s="8">
        <v>490.19</v>
      </c>
      <c r="K171" s="7">
        <v>22</v>
      </c>
      <c r="L171" s="7">
        <v>18</v>
      </c>
      <c r="M171" s="7">
        <v>13</v>
      </c>
      <c r="N171" s="7">
        <v>19</v>
      </c>
      <c r="O171" s="7">
        <v>22</v>
      </c>
      <c r="P171" s="7">
        <v>8</v>
      </c>
      <c r="Q171" s="7">
        <v>1</v>
      </c>
      <c r="R171" s="7">
        <v>2</v>
      </c>
      <c r="S171" s="7">
        <v>12</v>
      </c>
    </row>
    <row r="172" spans="1:19">
      <c r="A172" s="6">
        <v>46193</v>
      </c>
      <c r="B172" s="7" t="s">
        <v>22</v>
      </c>
      <c r="C172" s="7" t="s">
        <v>42</v>
      </c>
      <c r="D172" s="7">
        <v>102</v>
      </c>
      <c r="E172" s="7">
        <v>55</v>
      </c>
      <c r="F172" s="7">
        <v>47</v>
      </c>
      <c r="G172" s="7">
        <v>97</v>
      </c>
      <c r="H172" s="8">
        <v>2883.91</v>
      </c>
      <c r="I172" s="8">
        <v>1038.76</v>
      </c>
      <c r="J172" s="8">
        <v>634.26</v>
      </c>
      <c r="K172" s="7">
        <v>25</v>
      </c>
      <c r="L172" s="7">
        <v>24</v>
      </c>
      <c r="M172" s="7">
        <v>22</v>
      </c>
      <c r="N172" s="7">
        <v>20</v>
      </c>
      <c r="O172" s="7">
        <v>36</v>
      </c>
      <c r="P172" s="7">
        <v>11</v>
      </c>
      <c r="Q172" s="7">
        <v>1</v>
      </c>
      <c r="R172" s="7">
        <v>3</v>
      </c>
      <c r="S172" s="7">
        <v>15</v>
      </c>
    </row>
    <row r="173" spans="1:19">
      <c r="A173" s="6">
        <v>46194</v>
      </c>
      <c r="B173" s="7" t="s">
        <v>22</v>
      </c>
      <c r="C173" s="7" t="s">
        <v>43</v>
      </c>
      <c r="D173" s="7">
        <v>61</v>
      </c>
      <c r="E173" s="7">
        <v>37</v>
      </c>
      <c r="F173" s="7">
        <v>24</v>
      </c>
      <c r="G173" s="7">
        <v>61</v>
      </c>
      <c r="H173" s="8">
        <v>1558.9</v>
      </c>
      <c r="I173" s="8">
        <v>545.27</v>
      </c>
      <c r="J173" s="8">
        <v>403.8</v>
      </c>
      <c r="K173" s="7">
        <v>21</v>
      </c>
      <c r="L173" s="7">
        <v>16</v>
      </c>
      <c r="M173" s="7">
        <v>12</v>
      </c>
      <c r="N173" s="7">
        <v>12</v>
      </c>
      <c r="O173" s="7">
        <v>20</v>
      </c>
      <c r="P173" s="7">
        <v>7</v>
      </c>
      <c r="Q173" s="7">
        <v>1</v>
      </c>
      <c r="R173" s="7">
        <v>2</v>
      </c>
      <c r="S173" s="7">
        <v>8</v>
      </c>
    </row>
    <row r="174" spans="1:19">
      <c r="A174" s="6">
        <v>46195</v>
      </c>
      <c r="B174" s="7" t="s">
        <v>22</v>
      </c>
      <c r="C174" s="7" t="s">
        <v>44</v>
      </c>
      <c r="D174" s="7">
        <v>41</v>
      </c>
      <c r="E174" s="7">
        <v>21</v>
      </c>
      <c r="F174" s="7">
        <v>20</v>
      </c>
      <c r="G174" s="7">
        <v>39</v>
      </c>
      <c r="H174" s="8">
        <v>1226.8499999999999</v>
      </c>
      <c r="I174" s="8">
        <v>395.22</v>
      </c>
      <c r="J174" s="8">
        <v>296.69</v>
      </c>
      <c r="K174" s="7">
        <v>8</v>
      </c>
      <c r="L174" s="7">
        <v>11</v>
      </c>
      <c r="M174" s="7">
        <v>8</v>
      </c>
      <c r="N174" s="7">
        <v>10</v>
      </c>
      <c r="O174" s="7">
        <v>14</v>
      </c>
      <c r="P174" s="7">
        <v>3</v>
      </c>
      <c r="Q174" s="7">
        <v>0</v>
      </c>
      <c r="R174" s="7">
        <v>2</v>
      </c>
      <c r="S174" s="7">
        <v>7</v>
      </c>
    </row>
    <row r="175" spans="1:19">
      <c r="A175" s="6">
        <v>46196</v>
      </c>
      <c r="B175" s="7" t="s">
        <v>22</v>
      </c>
      <c r="C175" s="7" t="s">
        <v>45</v>
      </c>
      <c r="D175" s="7">
        <v>50</v>
      </c>
      <c r="E175" s="7">
        <v>31</v>
      </c>
      <c r="F175" s="7">
        <v>19</v>
      </c>
      <c r="G175" s="7">
        <v>47</v>
      </c>
      <c r="H175" s="8">
        <v>1410.69</v>
      </c>
      <c r="I175" s="8">
        <v>485.95</v>
      </c>
      <c r="J175" s="8">
        <v>328.75</v>
      </c>
      <c r="K175" s="7">
        <v>16</v>
      </c>
      <c r="L175" s="7">
        <v>12</v>
      </c>
      <c r="M175" s="7">
        <v>9</v>
      </c>
      <c r="N175" s="7">
        <v>10</v>
      </c>
      <c r="O175" s="7">
        <v>14</v>
      </c>
      <c r="P175" s="7">
        <v>5</v>
      </c>
      <c r="Q175" s="7">
        <v>1</v>
      </c>
      <c r="R175" s="7">
        <v>3</v>
      </c>
      <c r="S175" s="7">
        <v>8</v>
      </c>
    </row>
    <row r="176" spans="1:19">
      <c r="A176" s="6">
        <v>46197</v>
      </c>
      <c r="B176" s="7" t="s">
        <v>22</v>
      </c>
      <c r="C176" s="7" t="s">
        <v>46</v>
      </c>
      <c r="D176" s="7">
        <v>43</v>
      </c>
      <c r="E176" s="7">
        <v>23</v>
      </c>
      <c r="F176" s="7">
        <v>20</v>
      </c>
      <c r="G176" s="7">
        <v>41</v>
      </c>
      <c r="H176" s="8">
        <v>1172.8699999999999</v>
      </c>
      <c r="I176" s="8">
        <v>399.33</v>
      </c>
      <c r="J176" s="8">
        <v>298.93</v>
      </c>
      <c r="K176" s="7">
        <v>10</v>
      </c>
      <c r="L176" s="7">
        <v>9</v>
      </c>
      <c r="M176" s="7">
        <v>10</v>
      </c>
      <c r="N176" s="7">
        <v>11</v>
      </c>
      <c r="O176" s="7">
        <v>14</v>
      </c>
      <c r="P176" s="7">
        <v>3</v>
      </c>
      <c r="Q176" s="7">
        <v>0</v>
      </c>
      <c r="R176" s="7">
        <v>2</v>
      </c>
      <c r="S176" s="7">
        <v>7</v>
      </c>
    </row>
    <row r="177" spans="1:19">
      <c r="A177" s="6">
        <v>46198</v>
      </c>
      <c r="B177" s="7" t="s">
        <v>22</v>
      </c>
      <c r="C177" s="7" t="s">
        <v>40</v>
      </c>
      <c r="D177" s="7">
        <v>41</v>
      </c>
      <c r="E177" s="7">
        <v>20</v>
      </c>
      <c r="F177" s="7">
        <v>21</v>
      </c>
      <c r="G177" s="7">
        <v>42</v>
      </c>
      <c r="H177" s="8">
        <v>1306.3499999999999</v>
      </c>
      <c r="I177" s="8">
        <v>420.12</v>
      </c>
      <c r="J177" s="8">
        <v>341.8</v>
      </c>
      <c r="K177" s="7">
        <v>12</v>
      </c>
      <c r="L177" s="7">
        <v>11</v>
      </c>
      <c r="M177" s="7">
        <v>10</v>
      </c>
      <c r="N177" s="7">
        <v>11</v>
      </c>
      <c r="O177" s="7">
        <v>17</v>
      </c>
      <c r="P177" s="7">
        <v>5</v>
      </c>
      <c r="Q177" s="7">
        <v>0</v>
      </c>
      <c r="R177" s="7">
        <v>1</v>
      </c>
      <c r="S177" s="7">
        <v>5</v>
      </c>
    </row>
    <row r="178" spans="1:19">
      <c r="A178" s="6">
        <v>46199</v>
      </c>
      <c r="B178" s="7" t="s">
        <v>22</v>
      </c>
      <c r="C178" s="7" t="s">
        <v>41</v>
      </c>
      <c r="D178" s="7">
        <v>75</v>
      </c>
      <c r="E178" s="7">
        <v>39</v>
      </c>
      <c r="F178" s="7">
        <v>36</v>
      </c>
      <c r="G178" s="7">
        <v>74</v>
      </c>
      <c r="H178" s="8">
        <v>2314.09</v>
      </c>
      <c r="I178" s="8">
        <v>786.91</v>
      </c>
      <c r="J178" s="8">
        <v>543.64</v>
      </c>
      <c r="K178" s="7">
        <v>22</v>
      </c>
      <c r="L178" s="7">
        <v>17</v>
      </c>
      <c r="M178" s="7">
        <v>16</v>
      </c>
      <c r="N178" s="7">
        <v>18</v>
      </c>
      <c r="O178" s="7">
        <v>24</v>
      </c>
      <c r="P178" s="7">
        <v>6</v>
      </c>
      <c r="Q178" s="7">
        <v>1</v>
      </c>
      <c r="R178" s="7">
        <v>4</v>
      </c>
      <c r="S178" s="7">
        <v>9</v>
      </c>
    </row>
    <row r="179" spans="1:19">
      <c r="A179" s="6">
        <v>46200</v>
      </c>
      <c r="B179" s="7" t="s">
        <v>22</v>
      </c>
      <c r="C179" s="7" t="s">
        <v>42</v>
      </c>
      <c r="D179" s="7">
        <v>96</v>
      </c>
      <c r="E179" s="7">
        <v>53</v>
      </c>
      <c r="F179" s="7">
        <v>43</v>
      </c>
      <c r="G179" s="7">
        <v>93</v>
      </c>
      <c r="H179" s="8">
        <v>2911.44</v>
      </c>
      <c r="I179" s="8">
        <v>1038.5899999999999</v>
      </c>
      <c r="J179" s="8">
        <v>730.37</v>
      </c>
      <c r="K179" s="7">
        <v>19</v>
      </c>
      <c r="L179" s="7">
        <v>26</v>
      </c>
      <c r="M179" s="7">
        <v>21</v>
      </c>
      <c r="N179" s="7">
        <v>24</v>
      </c>
      <c r="O179" s="7">
        <v>27</v>
      </c>
      <c r="P179" s="7">
        <v>6</v>
      </c>
      <c r="Q179" s="7">
        <v>1</v>
      </c>
      <c r="R179" s="7">
        <v>4</v>
      </c>
      <c r="S179" s="7">
        <v>14</v>
      </c>
    </row>
    <row r="180" spans="1:19">
      <c r="A180" s="6">
        <v>46201</v>
      </c>
      <c r="B180" s="7" t="s">
        <v>22</v>
      </c>
      <c r="C180" s="7" t="s">
        <v>43</v>
      </c>
      <c r="D180" s="7">
        <v>60</v>
      </c>
      <c r="E180" s="7">
        <v>31</v>
      </c>
      <c r="F180" s="7">
        <v>29</v>
      </c>
      <c r="G180" s="7">
        <v>57</v>
      </c>
      <c r="H180" s="8">
        <v>1695.6</v>
      </c>
      <c r="I180" s="8">
        <v>593.59</v>
      </c>
      <c r="J180" s="8">
        <v>372.74</v>
      </c>
      <c r="K180" s="7">
        <v>19</v>
      </c>
      <c r="L180" s="7">
        <v>15</v>
      </c>
      <c r="M180" s="7">
        <v>13</v>
      </c>
      <c r="N180" s="7">
        <v>14</v>
      </c>
      <c r="O180" s="7">
        <v>17</v>
      </c>
      <c r="P180" s="7">
        <v>4</v>
      </c>
      <c r="Q180" s="7">
        <v>1</v>
      </c>
      <c r="R180" s="7">
        <v>4</v>
      </c>
      <c r="S180" s="7">
        <v>8</v>
      </c>
    </row>
    <row r="181" spans="1:19">
      <c r="A181" s="6">
        <v>46202</v>
      </c>
      <c r="B181" s="7" t="s">
        <v>22</v>
      </c>
      <c r="C181" s="7" t="s">
        <v>44</v>
      </c>
      <c r="D181" s="7">
        <v>43</v>
      </c>
      <c r="E181" s="7">
        <v>22</v>
      </c>
      <c r="F181" s="7">
        <v>21</v>
      </c>
      <c r="G181" s="7">
        <v>40</v>
      </c>
      <c r="H181" s="8">
        <v>1213.71</v>
      </c>
      <c r="I181" s="8">
        <v>398.82</v>
      </c>
      <c r="J181" s="8">
        <v>259.52999999999997</v>
      </c>
      <c r="K181" s="7">
        <v>12</v>
      </c>
      <c r="L181" s="7">
        <v>11</v>
      </c>
      <c r="M181" s="7">
        <v>7</v>
      </c>
      <c r="N181" s="7">
        <v>9</v>
      </c>
      <c r="O181" s="7">
        <v>13</v>
      </c>
      <c r="P181" s="7">
        <v>4</v>
      </c>
      <c r="Q181" s="7">
        <v>0</v>
      </c>
      <c r="R181" s="7">
        <v>2</v>
      </c>
      <c r="S181" s="7">
        <v>6</v>
      </c>
    </row>
    <row r="182" spans="1:19">
      <c r="A182" s="6">
        <v>46203</v>
      </c>
      <c r="B182" s="7" t="s">
        <v>22</v>
      </c>
      <c r="C182" s="7" t="s">
        <v>45</v>
      </c>
      <c r="D182" s="7">
        <v>49</v>
      </c>
      <c r="E182" s="7">
        <v>26</v>
      </c>
      <c r="F182" s="7">
        <v>23</v>
      </c>
      <c r="G182" s="7">
        <v>47</v>
      </c>
      <c r="H182" s="8">
        <v>1341.99</v>
      </c>
      <c r="I182" s="8">
        <v>425.68</v>
      </c>
      <c r="J182" s="8">
        <v>351.3</v>
      </c>
      <c r="K182" s="7">
        <v>11</v>
      </c>
      <c r="L182" s="7">
        <v>12</v>
      </c>
      <c r="M182" s="7">
        <v>10</v>
      </c>
      <c r="N182" s="7">
        <v>9</v>
      </c>
      <c r="O182" s="7">
        <v>19</v>
      </c>
      <c r="P182" s="7">
        <v>6</v>
      </c>
      <c r="Q182" s="7">
        <v>1</v>
      </c>
      <c r="R182" s="7">
        <v>3</v>
      </c>
      <c r="S182" s="7">
        <v>10</v>
      </c>
    </row>
    <row r="183" spans="1:19">
      <c r="A183" s="6">
        <v>46204</v>
      </c>
      <c r="B183" s="7" t="s">
        <v>23</v>
      </c>
      <c r="C183" s="7" t="s">
        <v>46</v>
      </c>
      <c r="D183" s="7">
        <v>51</v>
      </c>
      <c r="E183" s="7">
        <v>29</v>
      </c>
      <c r="F183" s="7">
        <v>22</v>
      </c>
      <c r="G183" s="7">
        <v>49</v>
      </c>
      <c r="H183" s="8">
        <v>1371.88</v>
      </c>
      <c r="I183" s="8">
        <v>481.55</v>
      </c>
      <c r="J183" s="8">
        <v>310.42</v>
      </c>
      <c r="K183" s="7">
        <v>10</v>
      </c>
      <c r="L183" s="7">
        <v>12</v>
      </c>
      <c r="M183" s="7">
        <v>11</v>
      </c>
      <c r="N183" s="7">
        <v>13</v>
      </c>
      <c r="O183" s="7">
        <v>15</v>
      </c>
      <c r="P183" s="7">
        <v>6</v>
      </c>
      <c r="Q183" s="7">
        <v>0</v>
      </c>
      <c r="R183" s="7">
        <v>4</v>
      </c>
      <c r="S183" s="7">
        <v>11</v>
      </c>
    </row>
    <row r="184" spans="1:19">
      <c r="A184" s="6">
        <v>46205</v>
      </c>
      <c r="B184" s="7" t="s">
        <v>23</v>
      </c>
      <c r="C184" s="7" t="s">
        <v>40</v>
      </c>
      <c r="D184" s="7">
        <v>47</v>
      </c>
      <c r="E184" s="7">
        <v>24</v>
      </c>
      <c r="F184" s="7">
        <v>23</v>
      </c>
      <c r="G184" s="7">
        <v>45</v>
      </c>
      <c r="H184" s="8">
        <v>1296.83</v>
      </c>
      <c r="I184" s="8">
        <v>409.02</v>
      </c>
      <c r="J184" s="8">
        <v>287.95</v>
      </c>
      <c r="K184" s="7">
        <v>13</v>
      </c>
      <c r="L184" s="7">
        <v>11</v>
      </c>
      <c r="M184" s="7">
        <v>10</v>
      </c>
      <c r="N184" s="7">
        <v>10</v>
      </c>
      <c r="O184" s="7">
        <v>16</v>
      </c>
      <c r="P184" s="7">
        <v>4</v>
      </c>
      <c r="Q184" s="7">
        <v>1</v>
      </c>
      <c r="R184" s="7">
        <v>3</v>
      </c>
      <c r="S184" s="7">
        <v>6</v>
      </c>
    </row>
    <row r="185" spans="1:19">
      <c r="A185" s="6">
        <v>46206</v>
      </c>
      <c r="B185" s="7" t="s">
        <v>23</v>
      </c>
      <c r="C185" s="7" t="s">
        <v>41</v>
      </c>
      <c r="D185" s="7">
        <v>75</v>
      </c>
      <c r="E185" s="7">
        <v>39</v>
      </c>
      <c r="F185" s="7">
        <v>36</v>
      </c>
      <c r="G185" s="7">
        <v>72</v>
      </c>
      <c r="H185" s="8">
        <v>1982.76</v>
      </c>
      <c r="I185" s="8">
        <v>665.22</v>
      </c>
      <c r="J185" s="8">
        <v>444.1</v>
      </c>
      <c r="K185" s="7">
        <v>18</v>
      </c>
      <c r="L185" s="7">
        <v>21</v>
      </c>
      <c r="M185" s="7">
        <v>17</v>
      </c>
      <c r="N185" s="7">
        <v>19</v>
      </c>
      <c r="O185" s="7">
        <v>20</v>
      </c>
      <c r="P185" s="7">
        <v>8</v>
      </c>
      <c r="Q185" s="7">
        <v>1</v>
      </c>
      <c r="R185" s="7">
        <v>5</v>
      </c>
      <c r="S185" s="7">
        <v>13</v>
      </c>
    </row>
    <row r="186" spans="1:19">
      <c r="A186" s="6">
        <v>46207</v>
      </c>
      <c r="B186" s="7" t="s">
        <v>23</v>
      </c>
      <c r="C186" s="7" t="s">
        <v>42</v>
      </c>
      <c r="D186" s="7">
        <v>88</v>
      </c>
      <c r="E186" s="7">
        <v>49</v>
      </c>
      <c r="F186" s="7">
        <v>39</v>
      </c>
      <c r="G186" s="7">
        <v>82</v>
      </c>
      <c r="H186" s="8">
        <v>2745.5</v>
      </c>
      <c r="I186" s="8">
        <v>962.52</v>
      </c>
      <c r="J186" s="8">
        <v>591.88</v>
      </c>
      <c r="K186" s="7">
        <v>27</v>
      </c>
      <c r="L186" s="7">
        <v>25</v>
      </c>
      <c r="M186" s="7">
        <v>18</v>
      </c>
      <c r="N186" s="7">
        <v>20</v>
      </c>
      <c r="O186" s="7">
        <v>27</v>
      </c>
      <c r="P186" s="7">
        <v>11</v>
      </c>
      <c r="Q186" s="7">
        <v>1</v>
      </c>
      <c r="R186" s="7">
        <v>3</v>
      </c>
      <c r="S186" s="7">
        <v>9</v>
      </c>
    </row>
    <row r="187" spans="1:19">
      <c r="A187" s="6">
        <v>46208</v>
      </c>
      <c r="B187" s="7" t="s">
        <v>23</v>
      </c>
      <c r="C187" s="7" t="s">
        <v>43</v>
      </c>
      <c r="D187" s="7">
        <v>64</v>
      </c>
      <c r="E187" s="7">
        <v>33</v>
      </c>
      <c r="F187" s="7">
        <v>31</v>
      </c>
      <c r="G187" s="7">
        <v>60</v>
      </c>
      <c r="H187" s="8">
        <v>1734.42</v>
      </c>
      <c r="I187" s="8">
        <v>584.05999999999995</v>
      </c>
      <c r="J187" s="8">
        <v>464.57</v>
      </c>
      <c r="K187" s="7">
        <v>14</v>
      </c>
      <c r="L187" s="7">
        <v>15</v>
      </c>
      <c r="M187" s="7">
        <v>12</v>
      </c>
      <c r="N187" s="7">
        <v>15</v>
      </c>
      <c r="O187" s="7">
        <v>23</v>
      </c>
      <c r="P187" s="7">
        <v>7</v>
      </c>
      <c r="Q187" s="7">
        <v>1</v>
      </c>
      <c r="R187" s="7">
        <v>3</v>
      </c>
      <c r="S187" s="7">
        <v>8</v>
      </c>
    </row>
    <row r="188" spans="1:19">
      <c r="A188" s="6">
        <v>46209</v>
      </c>
      <c r="B188" s="7" t="s">
        <v>23</v>
      </c>
      <c r="C188" s="7" t="s">
        <v>44</v>
      </c>
      <c r="D188" s="7">
        <v>39</v>
      </c>
      <c r="E188" s="7">
        <v>21</v>
      </c>
      <c r="F188" s="7">
        <v>18</v>
      </c>
      <c r="G188" s="7">
        <v>37</v>
      </c>
      <c r="H188" s="8">
        <v>979.99</v>
      </c>
      <c r="I188" s="8">
        <v>331.53</v>
      </c>
      <c r="J188" s="8">
        <v>229.7</v>
      </c>
      <c r="K188" s="7">
        <v>10</v>
      </c>
      <c r="L188" s="7">
        <v>11</v>
      </c>
      <c r="M188" s="7">
        <v>7</v>
      </c>
      <c r="N188" s="7">
        <v>8</v>
      </c>
      <c r="O188" s="7">
        <v>12</v>
      </c>
      <c r="P188" s="7">
        <v>3</v>
      </c>
      <c r="Q188" s="7">
        <v>0</v>
      </c>
      <c r="R188" s="7">
        <v>1</v>
      </c>
      <c r="S188" s="7">
        <v>7</v>
      </c>
    </row>
    <row r="189" spans="1:19">
      <c r="A189" s="6">
        <v>46210</v>
      </c>
      <c r="B189" s="7" t="s">
        <v>23</v>
      </c>
      <c r="C189" s="7" t="s">
        <v>45</v>
      </c>
      <c r="D189" s="7">
        <v>52</v>
      </c>
      <c r="E189" s="7">
        <v>27</v>
      </c>
      <c r="F189" s="7">
        <v>25</v>
      </c>
      <c r="G189" s="7">
        <v>49</v>
      </c>
      <c r="H189" s="8">
        <v>1495.26</v>
      </c>
      <c r="I189" s="8">
        <v>495.51</v>
      </c>
      <c r="J189" s="8">
        <v>322.19</v>
      </c>
      <c r="K189" s="7">
        <v>12</v>
      </c>
      <c r="L189" s="7">
        <v>12</v>
      </c>
      <c r="M189" s="7">
        <v>11</v>
      </c>
      <c r="N189" s="7">
        <v>12</v>
      </c>
      <c r="O189" s="7">
        <v>16</v>
      </c>
      <c r="P189" s="7">
        <v>7</v>
      </c>
      <c r="Q189" s="7">
        <v>1</v>
      </c>
      <c r="R189" s="7">
        <v>1</v>
      </c>
      <c r="S189" s="7">
        <v>7</v>
      </c>
    </row>
    <row r="190" spans="1:19">
      <c r="A190" s="6">
        <v>46211</v>
      </c>
      <c r="B190" s="7" t="s">
        <v>23</v>
      </c>
      <c r="C190" s="7" t="s">
        <v>46</v>
      </c>
      <c r="D190" s="7">
        <v>47</v>
      </c>
      <c r="E190" s="7">
        <v>27</v>
      </c>
      <c r="F190" s="7">
        <v>20</v>
      </c>
      <c r="G190" s="7">
        <v>47</v>
      </c>
      <c r="H190" s="8">
        <v>1237.92</v>
      </c>
      <c r="I190" s="8">
        <v>390.68</v>
      </c>
      <c r="J190" s="8">
        <v>321.64</v>
      </c>
      <c r="K190" s="7">
        <v>16</v>
      </c>
      <c r="L190" s="7">
        <v>11</v>
      </c>
      <c r="M190" s="7">
        <v>11</v>
      </c>
      <c r="N190" s="7">
        <v>10</v>
      </c>
      <c r="O190" s="7">
        <v>17</v>
      </c>
      <c r="P190" s="7">
        <v>5</v>
      </c>
      <c r="Q190" s="7">
        <v>1</v>
      </c>
      <c r="R190" s="7">
        <v>3</v>
      </c>
      <c r="S190" s="7">
        <v>6</v>
      </c>
    </row>
    <row r="191" spans="1:19">
      <c r="A191" s="6">
        <v>46212</v>
      </c>
      <c r="B191" s="7" t="s">
        <v>23</v>
      </c>
      <c r="C191" s="7" t="s">
        <v>40</v>
      </c>
      <c r="D191" s="7">
        <v>48</v>
      </c>
      <c r="E191" s="7">
        <v>31</v>
      </c>
      <c r="F191" s="7">
        <v>17</v>
      </c>
      <c r="G191" s="7">
        <v>45</v>
      </c>
      <c r="H191" s="8">
        <v>1391.17</v>
      </c>
      <c r="I191" s="8">
        <v>469.06</v>
      </c>
      <c r="J191" s="8">
        <v>302.89999999999998</v>
      </c>
      <c r="K191" s="7">
        <v>15</v>
      </c>
      <c r="L191" s="7">
        <v>13</v>
      </c>
      <c r="M191" s="7">
        <v>9</v>
      </c>
      <c r="N191" s="7">
        <v>9</v>
      </c>
      <c r="O191" s="7">
        <v>16</v>
      </c>
      <c r="P191" s="7">
        <v>3</v>
      </c>
      <c r="Q191" s="7">
        <v>0</v>
      </c>
      <c r="R191" s="7">
        <v>3</v>
      </c>
      <c r="S191" s="7">
        <v>9</v>
      </c>
    </row>
    <row r="192" spans="1:19">
      <c r="A192" s="6">
        <v>46213</v>
      </c>
      <c r="B192" s="7" t="s">
        <v>23</v>
      </c>
      <c r="C192" s="7" t="s">
        <v>41</v>
      </c>
      <c r="D192" s="7">
        <v>86</v>
      </c>
      <c r="E192" s="7">
        <v>53</v>
      </c>
      <c r="F192" s="7">
        <v>33</v>
      </c>
      <c r="G192" s="7">
        <v>82</v>
      </c>
      <c r="H192" s="8">
        <v>2347.08</v>
      </c>
      <c r="I192" s="8">
        <v>772.17</v>
      </c>
      <c r="J192" s="8">
        <v>617.29</v>
      </c>
      <c r="K192" s="7">
        <v>17</v>
      </c>
      <c r="L192" s="7">
        <v>23</v>
      </c>
      <c r="M192" s="7">
        <v>16</v>
      </c>
      <c r="N192" s="7">
        <v>18</v>
      </c>
      <c r="O192" s="7">
        <v>28</v>
      </c>
      <c r="P192" s="7">
        <v>8</v>
      </c>
      <c r="Q192" s="7">
        <v>1</v>
      </c>
      <c r="R192" s="7">
        <v>2</v>
      </c>
      <c r="S192" s="7">
        <v>11</v>
      </c>
    </row>
    <row r="193" spans="1:19">
      <c r="A193" s="6">
        <v>46214</v>
      </c>
      <c r="B193" s="7" t="s">
        <v>23</v>
      </c>
      <c r="C193" s="7" t="s">
        <v>42</v>
      </c>
      <c r="D193" s="7">
        <v>100</v>
      </c>
      <c r="E193" s="7">
        <v>61</v>
      </c>
      <c r="F193" s="7">
        <v>39</v>
      </c>
      <c r="G193" s="7">
        <v>102</v>
      </c>
      <c r="H193" s="8">
        <v>3126.8</v>
      </c>
      <c r="I193" s="8">
        <v>1083.55</v>
      </c>
      <c r="J193" s="8">
        <v>807.12</v>
      </c>
      <c r="K193" s="7">
        <v>32</v>
      </c>
      <c r="L193" s="7">
        <v>32</v>
      </c>
      <c r="M193" s="7">
        <v>24</v>
      </c>
      <c r="N193" s="7">
        <v>22</v>
      </c>
      <c r="O193" s="7">
        <v>36</v>
      </c>
      <c r="P193" s="7">
        <v>9</v>
      </c>
      <c r="Q193" s="7">
        <v>1</v>
      </c>
      <c r="R193" s="7">
        <v>7</v>
      </c>
      <c r="S193" s="7">
        <v>16</v>
      </c>
    </row>
    <row r="194" spans="1:19">
      <c r="A194" s="6">
        <v>46215</v>
      </c>
      <c r="B194" s="7" t="s">
        <v>23</v>
      </c>
      <c r="C194" s="7" t="s">
        <v>43</v>
      </c>
      <c r="D194" s="7">
        <v>68</v>
      </c>
      <c r="E194" s="7">
        <v>41</v>
      </c>
      <c r="F194" s="7">
        <v>27</v>
      </c>
      <c r="G194" s="7">
        <v>69</v>
      </c>
      <c r="H194" s="8">
        <v>2081.81</v>
      </c>
      <c r="I194" s="8">
        <v>661.87</v>
      </c>
      <c r="J194" s="8">
        <v>561.03</v>
      </c>
      <c r="K194" s="7">
        <v>19</v>
      </c>
      <c r="L194" s="7">
        <v>20</v>
      </c>
      <c r="M194" s="7">
        <v>17</v>
      </c>
      <c r="N194" s="7">
        <v>18</v>
      </c>
      <c r="O194" s="7">
        <v>20</v>
      </c>
      <c r="P194" s="7">
        <v>7</v>
      </c>
      <c r="Q194" s="7">
        <v>1</v>
      </c>
      <c r="R194" s="7">
        <v>3</v>
      </c>
      <c r="S194" s="7">
        <v>14</v>
      </c>
    </row>
    <row r="195" spans="1:19">
      <c r="A195" s="6">
        <v>46216</v>
      </c>
      <c r="B195" s="7" t="s">
        <v>23</v>
      </c>
      <c r="C195" s="7" t="s">
        <v>44</v>
      </c>
      <c r="D195" s="7">
        <v>40</v>
      </c>
      <c r="E195" s="7">
        <v>25</v>
      </c>
      <c r="F195" s="7">
        <v>15</v>
      </c>
      <c r="G195" s="7">
        <v>41</v>
      </c>
      <c r="H195" s="8">
        <v>1099.48</v>
      </c>
      <c r="I195" s="8">
        <v>392.87</v>
      </c>
      <c r="J195" s="8">
        <v>283.49</v>
      </c>
      <c r="K195" s="7">
        <v>10</v>
      </c>
      <c r="L195" s="7">
        <v>12</v>
      </c>
      <c r="M195" s="7">
        <v>10</v>
      </c>
      <c r="N195" s="7">
        <v>8</v>
      </c>
      <c r="O195" s="7">
        <v>15</v>
      </c>
      <c r="P195" s="7">
        <v>5</v>
      </c>
      <c r="Q195" s="7">
        <v>0</v>
      </c>
      <c r="R195" s="7">
        <v>2</v>
      </c>
      <c r="S195" s="7">
        <v>9</v>
      </c>
    </row>
    <row r="196" spans="1:19">
      <c r="A196" s="6">
        <v>46217</v>
      </c>
      <c r="B196" s="7" t="s">
        <v>23</v>
      </c>
      <c r="C196" s="7" t="s">
        <v>45</v>
      </c>
      <c r="D196" s="7">
        <v>40</v>
      </c>
      <c r="E196" s="7">
        <v>22</v>
      </c>
      <c r="F196" s="7">
        <v>18</v>
      </c>
      <c r="G196" s="7">
        <v>39</v>
      </c>
      <c r="H196" s="8">
        <v>1038.55</v>
      </c>
      <c r="I196" s="8">
        <v>378.45</v>
      </c>
      <c r="J196" s="8">
        <v>273.02999999999997</v>
      </c>
      <c r="K196" s="7">
        <v>10</v>
      </c>
      <c r="L196" s="7">
        <v>10</v>
      </c>
      <c r="M196" s="7">
        <v>8</v>
      </c>
      <c r="N196" s="7">
        <v>8</v>
      </c>
      <c r="O196" s="7">
        <v>12</v>
      </c>
      <c r="P196" s="7">
        <v>3</v>
      </c>
      <c r="Q196" s="7">
        <v>0</v>
      </c>
      <c r="R196" s="7">
        <v>2</v>
      </c>
      <c r="S196" s="7">
        <v>4</v>
      </c>
    </row>
    <row r="197" spans="1:19">
      <c r="A197" s="6">
        <v>46218</v>
      </c>
      <c r="B197" s="7" t="s">
        <v>23</v>
      </c>
      <c r="C197" s="7" t="s">
        <v>46</v>
      </c>
      <c r="D197" s="7">
        <v>35</v>
      </c>
      <c r="E197" s="7">
        <v>21</v>
      </c>
      <c r="F197" s="7">
        <v>14</v>
      </c>
      <c r="G197" s="7">
        <v>33</v>
      </c>
      <c r="H197" s="8">
        <v>983.45</v>
      </c>
      <c r="I197" s="8">
        <v>354.97</v>
      </c>
      <c r="J197" s="8">
        <v>256.33999999999997</v>
      </c>
      <c r="K197" s="7">
        <v>8</v>
      </c>
      <c r="L197" s="7">
        <v>7</v>
      </c>
      <c r="M197" s="7">
        <v>7</v>
      </c>
      <c r="N197" s="7">
        <v>9</v>
      </c>
      <c r="O197" s="7">
        <v>13</v>
      </c>
      <c r="P197" s="7">
        <v>4</v>
      </c>
      <c r="Q197" s="7">
        <v>0</v>
      </c>
      <c r="R197" s="7">
        <v>2</v>
      </c>
      <c r="S197" s="7">
        <v>7</v>
      </c>
    </row>
    <row r="198" spans="1:19">
      <c r="A198" s="6">
        <v>46219</v>
      </c>
      <c r="B198" s="7" t="s">
        <v>23</v>
      </c>
      <c r="C198" s="7" t="s">
        <v>40</v>
      </c>
      <c r="D198" s="7">
        <v>58</v>
      </c>
      <c r="E198" s="7">
        <v>36</v>
      </c>
      <c r="F198" s="7">
        <v>22</v>
      </c>
      <c r="G198" s="7">
        <v>56</v>
      </c>
      <c r="H198" s="8">
        <v>1473.85</v>
      </c>
      <c r="I198" s="8">
        <v>475.87</v>
      </c>
      <c r="J198" s="8">
        <v>393.4</v>
      </c>
      <c r="K198" s="7">
        <v>17</v>
      </c>
      <c r="L198" s="7">
        <v>17</v>
      </c>
      <c r="M198" s="7">
        <v>13</v>
      </c>
      <c r="N198" s="7">
        <v>11</v>
      </c>
      <c r="O198" s="7">
        <v>23</v>
      </c>
      <c r="P198" s="7">
        <v>6</v>
      </c>
      <c r="Q198" s="7">
        <v>1</v>
      </c>
      <c r="R198" s="7">
        <v>4</v>
      </c>
      <c r="S198" s="7">
        <v>11</v>
      </c>
    </row>
    <row r="199" spans="1:19">
      <c r="A199" s="6">
        <v>46220</v>
      </c>
      <c r="B199" s="7" t="s">
        <v>23</v>
      </c>
      <c r="C199" s="7" t="s">
        <v>41</v>
      </c>
      <c r="D199" s="7">
        <v>70</v>
      </c>
      <c r="E199" s="7">
        <v>38</v>
      </c>
      <c r="F199" s="7">
        <v>32</v>
      </c>
      <c r="G199" s="7">
        <v>66</v>
      </c>
      <c r="H199" s="8">
        <v>1936.5</v>
      </c>
      <c r="I199" s="8">
        <v>676.66</v>
      </c>
      <c r="J199" s="8">
        <v>421.46</v>
      </c>
      <c r="K199" s="7">
        <v>20</v>
      </c>
      <c r="L199" s="7">
        <v>20</v>
      </c>
      <c r="M199" s="7">
        <v>16</v>
      </c>
      <c r="N199" s="7">
        <v>15</v>
      </c>
      <c r="O199" s="7">
        <v>28</v>
      </c>
      <c r="P199" s="7">
        <v>9</v>
      </c>
      <c r="Q199" s="7">
        <v>1</v>
      </c>
      <c r="R199" s="7">
        <v>2</v>
      </c>
      <c r="S199" s="7">
        <v>11</v>
      </c>
    </row>
    <row r="200" spans="1:19">
      <c r="A200" s="6">
        <v>46221</v>
      </c>
      <c r="B200" s="7" t="s">
        <v>23</v>
      </c>
      <c r="C200" s="7" t="s">
        <v>42</v>
      </c>
      <c r="D200" s="7">
        <v>104</v>
      </c>
      <c r="E200" s="7">
        <v>57</v>
      </c>
      <c r="F200" s="7">
        <v>47</v>
      </c>
      <c r="G200" s="7">
        <v>106</v>
      </c>
      <c r="H200" s="8">
        <v>3004.45</v>
      </c>
      <c r="I200" s="8">
        <v>1058.3699999999999</v>
      </c>
      <c r="J200" s="8">
        <v>673.84</v>
      </c>
      <c r="K200" s="7">
        <v>36</v>
      </c>
      <c r="L200" s="7">
        <v>25</v>
      </c>
      <c r="M200" s="7">
        <v>26</v>
      </c>
      <c r="N200" s="7">
        <v>21</v>
      </c>
      <c r="O200" s="7">
        <v>40</v>
      </c>
      <c r="P200" s="7">
        <v>11</v>
      </c>
      <c r="Q200" s="7">
        <v>1</v>
      </c>
      <c r="R200" s="7">
        <v>7</v>
      </c>
      <c r="S200" s="7">
        <v>16</v>
      </c>
    </row>
    <row r="201" spans="1:19">
      <c r="A201" s="6">
        <v>46222</v>
      </c>
      <c r="B201" s="7" t="s">
        <v>23</v>
      </c>
      <c r="C201" s="7" t="s">
        <v>43</v>
      </c>
      <c r="D201" s="7">
        <v>64</v>
      </c>
      <c r="E201" s="7">
        <v>38</v>
      </c>
      <c r="F201" s="7">
        <v>26</v>
      </c>
      <c r="G201" s="7">
        <v>60</v>
      </c>
      <c r="H201" s="8">
        <v>1622.4</v>
      </c>
      <c r="I201" s="8">
        <v>519.82000000000005</v>
      </c>
      <c r="J201" s="8">
        <v>340.83</v>
      </c>
      <c r="K201" s="7">
        <v>15</v>
      </c>
      <c r="L201" s="7">
        <v>17</v>
      </c>
      <c r="M201" s="7">
        <v>15</v>
      </c>
      <c r="N201" s="7">
        <v>16</v>
      </c>
      <c r="O201" s="7">
        <v>21</v>
      </c>
      <c r="P201" s="7">
        <v>6</v>
      </c>
      <c r="Q201" s="7">
        <v>1</v>
      </c>
      <c r="R201" s="7">
        <v>3</v>
      </c>
      <c r="S201" s="7">
        <v>7</v>
      </c>
    </row>
    <row r="202" spans="1:19">
      <c r="A202" s="6">
        <v>46223</v>
      </c>
      <c r="B202" s="7" t="s">
        <v>23</v>
      </c>
      <c r="C202" s="7" t="s">
        <v>44</v>
      </c>
      <c r="D202" s="7">
        <v>41</v>
      </c>
      <c r="E202" s="7">
        <v>22</v>
      </c>
      <c r="F202" s="7">
        <v>19</v>
      </c>
      <c r="G202" s="7">
        <v>39</v>
      </c>
      <c r="H202" s="8">
        <v>1011.75</v>
      </c>
      <c r="I202" s="8">
        <v>361.49</v>
      </c>
      <c r="J202" s="8">
        <v>230.37</v>
      </c>
      <c r="K202" s="7">
        <v>10</v>
      </c>
      <c r="L202" s="7">
        <v>12</v>
      </c>
      <c r="M202" s="7">
        <v>7</v>
      </c>
      <c r="N202" s="7">
        <v>8</v>
      </c>
      <c r="O202" s="7">
        <v>13</v>
      </c>
      <c r="P202" s="7">
        <v>5</v>
      </c>
      <c r="Q202" s="7">
        <v>0</v>
      </c>
      <c r="R202" s="7">
        <v>2</v>
      </c>
      <c r="S202" s="7">
        <v>8</v>
      </c>
    </row>
    <row r="203" spans="1:19">
      <c r="A203" s="6">
        <v>46224</v>
      </c>
      <c r="B203" s="7" t="s">
        <v>23</v>
      </c>
      <c r="C203" s="7" t="s">
        <v>45</v>
      </c>
      <c r="D203" s="7">
        <v>39</v>
      </c>
      <c r="E203" s="7">
        <v>21</v>
      </c>
      <c r="F203" s="7">
        <v>18</v>
      </c>
      <c r="G203" s="7">
        <v>39</v>
      </c>
      <c r="H203" s="8">
        <v>1107.46</v>
      </c>
      <c r="I203" s="8">
        <v>350.57</v>
      </c>
      <c r="J203" s="8">
        <v>295.19</v>
      </c>
      <c r="K203" s="7">
        <v>9</v>
      </c>
      <c r="L203" s="7">
        <v>12</v>
      </c>
      <c r="M203" s="7">
        <v>7</v>
      </c>
      <c r="N203" s="7">
        <v>8</v>
      </c>
      <c r="O203" s="7">
        <v>12</v>
      </c>
      <c r="P203" s="7">
        <v>3</v>
      </c>
      <c r="Q203" s="7">
        <v>0</v>
      </c>
      <c r="R203" s="7">
        <v>2</v>
      </c>
      <c r="S203" s="7">
        <v>7</v>
      </c>
    </row>
    <row r="204" spans="1:19">
      <c r="A204" s="6">
        <v>46225</v>
      </c>
      <c r="B204" s="7" t="s">
        <v>23</v>
      </c>
      <c r="C204" s="7" t="s">
        <v>46</v>
      </c>
      <c r="D204" s="7">
        <v>47</v>
      </c>
      <c r="E204" s="7">
        <v>28</v>
      </c>
      <c r="F204" s="7">
        <v>19</v>
      </c>
      <c r="G204" s="7">
        <v>44</v>
      </c>
      <c r="H204" s="8">
        <v>1272.95</v>
      </c>
      <c r="I204" s="8">
        <v>454.43</v>
      </c>
      <c r="J204" s="8">
        <v>279.05</v>
      </c>
      <c r="K204" s="7">
        <v>11</v>
      </c>
      <c r="L204" s="7">
        <v>11</v>
      </c>
      <c r="M204" s="7">
        <v>9</v>
      </c>
      <c r="N204" s="7">
        <v>11</v>
      </c>
      <c r="O204" s="7">
        <v>16</v>
      </c>
      <c r="P204" s="7">
        <v>3</v>
      </c>
      <c r="Q204" s="7">
        <v>0</v>
      </c>
      <c r="R204" s="7">
        <v>1</v>
      </c>
      <c r="S204" s="7">
        <v>5</v>
      </c>
    </row>
    <row r="205" spans="1:19">
      <c r="A205" s="6">
        <v>46226</v>
      </c>
      <c r="B205" s="7" t="s">
        <v>23</v>
      </c>
      <c r="C205" s="7" t="s">
        <v>40</v>
      </c>
      <c r="D205" s="7">
        <v>57</v>
      </c>
      <c r="E205" s="7">
        <v>36</v>
      </c>
      <c r="F205" s="7">
        <v>21</v>
      </c>
      <c r="G205" s="7">
        <v>58</v>
      </c>
      <c r="H205" s="8">
        <v>1586.31</v>
      </c>
      <c r="I205" s="8">
        <v>531.21</v>
      </c>
      <c r="J205" s="8">
        <v>379.68</v>
      </c>
      <c r="K205" s="7">
        <v>17</v>
      </c>
      <c r="L205" s="7">
        <v>13</v>
      </c>
      <c r="M205" s="7">
        <v>13</v>
      </c>
      <c r="N205" s="7">
        <v>12</v>
      </c>
      <c r="O205" s="7">
        <v>23</v>
      </c>
      <c r="P205" s="7">
        <v>5</v>
      </c>
      <c r="Q205" s="7">
        <v>1</v>
      </c>
      <c r="R205" s="7">
        <v>3</v>
      </c>
      <c r="S205" s="7">
        <v>8</v>
      </c>
    </row>
    <row r="206" spans="1:19">
      <c r="A206" s="6">
        <v>46227</v>
      </c>
      <c r="B206" s="7" t="s">
        <v>23</v>
      </c>
      <c r="C206" s="7" t="s">
        <v>41</v>
      </c>
      <c r="D206" s="7">
        <v>74</v>
      </c>
      <c r="E206" s="7">
        <v>47</v>
      </c>
      <c r="F206" s="7">
        <v>27</v>
      </c>
      <c r="G206" s="7">
        <v>74</v>
      </c>
      <c r="H206" s="8">
        <v>2331.36</v>
      </c>
      <c r="I206" s="8">
        <v>744.37</v>
      </c>
      <c r="J206" s="8">
        <v>537.67999999999995</v>
      </c>
      <c r="K206" s="7">
        <v>20</v>
      </c>
      <c r="L206" s="7">
        <v>23</v>
      </c>
      <c r="M206" s="7">
        <v>16</v>
      </c>
      <c r="N206" s="7">
        <v>17</v>
      </c>
      <c r="O206" s="7">
        <v>29</v>
      </c>
      <c r="P206" s="7">
        <v>9</v>
      </c>
      <c r="Q206" s="7">
        <v>1</v>
      </c>
      <c r="R206" s="7">
        <v>3</v>
      </c>
      <c r="S206" s="7">
        <v>12</v>
      </c>
    </row>
    <row r="207" spans="1:19">
      <c r="A207" s="6">
        <v>46228</v>
      </c>
      <c r="B207" s="7" t="s">
        <v>23</v>
      </c>
      <c r="C207" s="7" t="s">
        <v>42</v>
      </c>
      <c r="D207" s="7">
        <v>105</v>
      </c>
      <c r="E207" s="7">
        <v>59</v>
      </c>
      <c r="F207" s="7">
        <v>46</v>
      </c>
      <c r="G207" s="7">
        <v>107</v>
      </c>
      <c r="H207" s="8">
        <v>3248.26</v>
      </c>
      <c r="I207" s="8">
        <v>1036.03</v>
      </c>
      <c r="J207" s="8">
        <v>858.08</v>
      </c>
      <c r="K207" s="7">
        <v>32</v>
      </c>
      <c r="L207" s="7">
        <v>28</v>
      </c>
      <c r="M207" s="7">
        <v>26</v>
      </c>
      <c r="N207" s="7">
        <v>27</v>
      </c>
      <c r="O207" s="7">
        <v>40</v>
      </c>
      <c r="P207" s="7">
        <v>11</v>
      </c>
      <c r="Q207" s="7">
        <v>1</v>
      </c>
      <c r="R207" s="7">
        <v>3</v>
      </c>
      <c r="S207" s="7">
        <v>20</v>
      </c>
    </row>
    <row r="208" spans="1:19">
      <c r="A208" s="6">
        <v>46229</v>
      </c>
      <c r="B208" s="7" t="s">
        <v>23</v>
      </c>
      <c r="C208" s="7" t="s">
        <v>43</v>
      </c>
      <c r="D208" s="7">
        <v>85</v>
      </c>
      <c r="E208" s="7">
        <v>43</v>
      </c>
      <c r="F208" s="7">
        <v>42</v>
      </c>
      <c r="G208" s="7">
        <v>80</v>
      </c>
      <c r="H208" s="8">
        <v>2243.2199999999998</v>
      </c>
      <c r="I208" s="8">
        <v>817.46</v>
      </c>
      <c r="J208" s="8">
        <v>529.67999999999995</v>
      </c>
      <c r="K208" s="7">
        <v>27</v>
      </c>
      <c r="L208" s="7">
        <v>22</v>
      </c>
      <c r="M208" s="7">
        <v>19</v>
      </c>
      <c r="N208" s="7">
        <v>17</v>
      </c>
      <c r="O208" s="7">
        <v>33</v>
      </c>
      <c r="P208" s="7">
        <v>11</v>
      </c>
      <c r="Q208" s="7">
        <v>1</v>
      </c>
      <c r="R208" s="7">
        <v>2</v>
      </c>
      <c r="S208" s="7">
        <v>12</v>
      </c>
    </row>
    <row r="209" spans="1:19">
      <c r="A209" s="6">
        <v>46230</v>
      </c>
      <c r="B209" s="7" t="s">
        <v>23</v>
      </c>
      <c r="C209" s="7" t="s">
        <v>44</v>
      </c>
      <c r="D209" s="7">
        <v>35</v>
      </c>
      <c r="E209" s="7">
        <v>21</v>
      </c>
      <c r="F209" s="7">
        <v>14</v>
      </c>
      <c r="G209" s="7">
        <v>34</v>
      </c>
      <c r="H209" s="8">
        <v>960.46</v>
      </c>
      <c r="I209" s="8">
        <v>344.49</v>
      </c>
      <c r="J209" s="8">
        <v>247.02</v>
      </c>
      <c r="K209" s="7">
        <v>10</v>
      </c>
      <c r="L209" s="7">
        <v>9</v>
      </c>
      <c r="M209" s="7">
        <v>7</v>
      </c>
      <c r="N209" s="7">
        <v>8</v>
      </c>
      <c r="O209" s="7">
        <v>10</v>
      </c>
      <c r="P209" s="7">
        <v>4</v>
      </c>
      <c r="Q209" s="7">
        <v>1</v>
      </c>
      <c r="R209" s="7">
        <v>2</v>
      </c>
      <c r="S209" s="7">
        <v>7</v>
      </c>
    </row>
    <row r="210" spans="1:19">
      <c r="A210" s="6">
        <v>46231</v>
      </c>
      <c r="B210" s="7" t="s">
        <v>23</v>
      </c>
      <c r="C210" s="7" t="s">
        <v>45</v>
      </c>
      <c r="D210" s="7">
        <v>42</v>
      </c>
      <c r="E210" s="7">
        <v>25</v>
      </c>
      <c r="F210" s="7">
        <v>17</v>
      </c>
      <c r="G210" s="7">
        <v>41</v>
      </c>
      <c r="H210" s="8">
        <v>1130.0899999999999</v>
      </c>
      <c r="I210" s="8">
        <v>379.2</v>
      </c>
      <c r="J210" s="8">
        <v>263.29000000000002</v>
      </c>
      <c r="K210" s="7">
        <v>11</v>
      </c>
      <c r="L210" s="7">
        <v>11</v>
      </c>
      <c r="M210" s="7">
        <v>7</v>
      </c>
      <c r="N210" s="7">
        <v>9</v>
      </c>
      <c r="O210" s="7">
        <v>12</v>
      </c>
      <c r="P210" s="7">
        <v>4</v>
      </c>
      <c r="Q210" s="7">
        <v>1</v>
      </c>
      <c r="R210" s="7">
        <v>3</v>
      </c>
      <c r="S210" s="7">
        <v>4</v>
      </c>
    </row>
    <row r="211" spans="1:19">
      <c r="A211" s="6">
        <v>46232</v>
      </c>
      <c r="B211" s="7" t="s">
        <v>23</v>
      </c>
      <c r="C211" s="7" t="s">
        <v>46</v>
      </c>
      <c r="D211" s="7">
        <v>46</v>
      </c>
      <c r="E211" s="7">
        <v>27</v>
      </c>
      <c r="F211" s="7">
        <v>19</v>
      </c>
      <c r="G211" s="7">
        <v>44</v>
      </c>
      <c r="H211" s="8">
        <v>1318.88</v>
      </c>
      <c r="I211" s="8">
        <v>476.17</v>
      </c>
      <c r="J211" s="8">
        <v>347.95</v>
      </c>
      <c r="K211" s="7">
        <v>9</v>
      </c>
      <c r="L211" s="7">
        <v>13</v>
      </c>
      <c r="M211" s="7">
        <v>9</v>
      </c>
      <c r="N211" s="7">
        <v>9</v>
      </c>
      <c r="O211" s="7">
        <v>15</v>
      </c>
      <c r="P211" s="7">
        <v>5</v>
      </c>
      <c r="Q211" s="7">
        <v>0</v>
      </c>
      <c r="R211" s="7">
        <v>1</v>
      </c>
      <c r="S211" s="7">
        <v>9</v>
      </c>
    </row>
    <row r="212" spans="1:19">
      <c r="A212" s="6">
        <v>46233</v>
      </c>
      <c r="B212" s="7" t="s">
        <v>23</v>
      </c>
      <c r="C212" s="7" t="s">
        <v>40</v>
      </c>
      <c r="D212" s="7">
        <v>58</v>
      </c>
      <c r="E212" s="7">
        <v>29</v>
      </c>
      <c r="F212" s="7">
        <v>29</v>
      </c>
      <c r="G212" s="7">
        <v>56</v>
      </c>
      <c r="H212" s="8">
        <v>1568.04</v>
      </c>
      <c r="I212" s="8">
        <v>544.54999999999995</v>
      </c>
      <c r="J212" s="8">
        <v>346.97</v>
      </c>
      <c r="K212" s="7">
        <v>13</v>
      </c>
      <c r="L212" s="7">
        <v>16</v>
      </c>
      <c r="M212" s="7">
        <v>13</v>
      </c>
      <c r="N212" s="7">
        <v>14</v>
      </c>
      <c r="O212" s="7">
        <v>22</v>
      </c>
      <c r="P212" s="7">
        <v>7</v>
      </c>
      <c r="Q212" s="7">
        <v>1</v>
      </c>
      <c r="R212" s="7">
        <v>3</v>
      </c>
      <c r="S212" s="7">
        <v>7</v>
      </c>
    </row>
    <row r="213" spans="1:19">
      <c r="A213" s="6">
        <v>46234</v>
      </c>
      <c r="B213" s="7" t="s">
        <v>23</v>
      </c>
      <c r="C213" s="7" t="s">
        <v>41</v>
      </c>
      <c r="D213" s="7">
        <v>71</v>
      </c>
      <c r="E213" s="7">
        <v>40</v>
      </c>
      <c r="F213" s="7">
        <v>31</v>
      </c>
      <c r="G213" s="7">
        <v>67</v>
      </c>
      <c r="H213" s="8">
        <v>2184.7199999999998</v>
      </c>
      <c r="I213" s="8">
        <v>784.24</v>
      </c>
      <c r="J213" s="8">
        <v>462.59</v>
      </c>
      <c r="K213" s="7">
        <v>15</v>
      </c>
      <c r="L213" s="7">
        <v>20</v>
      </c>
      <c r="M213" s="7">
        <v>16</v>
      </c>
      <c r="N213" s="7">
        <v>14</v>
      </c>
      <c r="O213" s="7">
        <v>23</v>
      </c>
      <c r="P213" s="7">
        <v>9</v>
      </c>
      <c r="Q213" s="7">
        <v>1</v>
      </c>
      <c r="R213" s="7">
        <v>4</v>
      </c>
      <c r="S213" s="7">
        <v>9</v>
      </c>
    </row>
    <row r="214" spans="1:19">
      <c r="A214" s="6">
        <v>46235</v>
      </c>
      <c r="B214" s="7" t="s">
        <v>24</v>
      </c>
      <c r="C214" s="7" t="s">
        <v>42</v>
      </c>
      <c r="D214" s="7">
        <v>80</v>
      </c>
      <c r="E214" s="7">
        <v>50</v>
      </c>
      <c r="F214" s="7">
        <v>30</v>
      </c>
      <c r="G214" s="7">
        <v>75</v>
      </c>
      <c r="H214" s="8">
        <v>2230.11</v>
      </c>
      <c r="I214" s="8">
        <v>768.72</v>
      </c>
      <c r="J214" s="8">
        <v>492.08</v>
      </c>
      <c r="K214" s="7">
        <v>24</v>
      </c>
      <c r="L214" s="7">
        <v>20</v>
      </c>
      <c r="M214" s="7">
        <v>15</v>
      </c>
      <c r="N214" s="7">
        <v>15</v>
      </c>
      <c r="O214" s="7">
        <v>30</v>
      </c>
      <c r="P214" s="7">
        <v>9</v>
      </c>
      <c r="Q214" s="7">
        <v>1</v>
      </c>
      <c r="R214" s="7">
        <v>5</v>
      </c>
      <c r="S214" s="7">
        <v>10</v>
      </c>
    </row>
    <row r="215" spans="1:19">
      <c r="A215" s="6">
        <v>46236</v>
      </c>
      <c r="B215" s="7" t="s">
        <v>24</v>
      </c>
      <c r="C215" s="7" t="s">
        <v>43</v>
      </c>
      <c r="D215" s="7">
        <v>64</v>
      </c>
      <c r="E215" s="7">
        <v>39</v>
      </c>
      <c r="F215" s="7">
        <v>25</v>
      </c>
      <c r="G215" s="7">
        <v>63</v>
      </c>
      <c r="H215" s="8">
        <v>1971.24</v>
      </c>
      <c r="I215" s="8">
        <v>705.42</v>
      </c>
      <c r="J215" s="8">
        <v>490.53</v>
      </c>
      <c r="K215" s="7">
        <v>19</v>
      </c>
      <c r="L215" s="7">
        <v>15</v>
      </c>
      <c r="M215" s="7">
        <v>13</v>
      </c>
      <c r="N215" s="7">
        <v>12</v>
      </c>
      <c r="O215" s="7">
        <v>25</v>
      </c>
      <c r="P215" s="7">
        <v>7</v>
      </c>
      <c r="Q215" s="7">
        <v>1</v>
      </c>
      <c r="R215" s="7">
        <v>2</v>
      </c>
      <c r="S215" s="7">
        <v>13</v>
      </c>
    </row>
    <row r="216" spans="1:19">
      <c r="A216" s="6">
        <v>46237</v>
      </c>
      <c r="B216" s="7" t="s">
        <v>24</v>
      </c>
      <c r="C216" s="7" t="s">
        <v>44</v>
      </c>
      <c r="D216" s="7">
        <v>36</v>
      </c>
      <c r="E216" s="7">
        <v>22</v>
      </c>
      <c r="F216" s="7">
        <v>14</v>
      </c>
      <c r="G216" s="7">
        <v>36</v>
      </c>
      <c r="H216" s="8">
        <v>983.98</v>
      </c>
      <c r="I216" s="8">
        <v>357.53</v>
      </c>
      <c r="J216" s="8">
        <v>244.58</v>
      </c>
      <c r="K216" s="7">
        <v>9</v>
      </c>
      <c r="L216" s="7">
        <v>9</v>
      </c>
      <c r="M216" s="7">
        <v>7</v>
      </c>
      <c r="N216" s="7">
        <v>8</v>
      </c>
      <c r="O216" s="7">
        <v>12</v>
      </c>
      <c r="P216" s="7">
        <v>4</v>
      </c>
      <c r="Q216" s="7">
        <v>0</v>
      </c>
      <c r="R216" s="7">
        <v>2</v>
      </c>
      <c r="S216" s="7">
        <v>5</v>
      </c>
    </row>
    <row r="217" spans="1:19">
      <c r="A217" s="6">
        <v>46238</v>
      </c>
      <c r="B217" s="7" t="s">
        <v>24</v>
      </c>
      <c r="C217" s="7" t="s">
        <v>45</v>
      </c>
      <c r="D217" s="7">
        <v>43</v>
      </c>
      <c r="E217" s="7">
        <v>24</v>
      </c>
      <c r="F217" s="7">
        <v>19</v>
      </c>
      <c r="G217" s="7">
        <v>43</v>
      </c>
      <c r="H217" s="8">
        <v>1314.07</v>
      </c>
      <c r="I217" s="8">
        <v>438.52</v>
      </c>
      <c r="J217" s="8">
        <v>326.99</v>
      </c>
      <c r="K217" s="7">
        <v>12</v>
      </c>
      <c r="L217" s="7">
        <v>11</v>
      </c>
      <c r="M217" s="7">
        <v>8</v>
      </c>
      <c r="N217" s="7">
        <v>8</v>
      </c>
      <c r="O217" s="7">
        <v>18</v>
      </c>
      <c r="P217" s="7">
        <v>5</v>
      </c>
      <c r="Q217" s="7">
        <v>1</v>
      </c>
      <c r="R217" s="7">
        <v>3</v>
      </c>
      <c r="S217" s="7">
        <v>6</v>
      </c>
    </row>
    <row r="218" spans="1:19">
      <c r="A218" s="6">
        <v>46239</v>
      </c>
      <c r="B218" s="7" t="s">
        <v>24</v>
      </c>
      <c r="C218" s="7" t="s">
        <v>46</v>
      </c>
      <c r="D218" s="7">
        <v>50</v>
      </c>
      <c r="E218" s="7">
        <v>31</v>
      </c>
      <c r="F218" s="7">
        <v>19</v>
      </c>
      <c r="G218" s="7">
        <v>50</v>
      </c>
      <c r="H218" s="8">
        <v>1544.91</v>
      </c>
      <c r="I218" s="8">
        <v>548.86</v>
      </c>
      <c r="J218" s="8">
        <v>398.81</v>
      </c>
      <c r="K218" s="7">
        <v>14</v>
      </c>
      <c r="L218" s="7">
        <v>14</v>
      </c>
      <c r="M218" s="7">
        <v>11</v>
      </c>
      <c r="N218" s="7">
        <v>12</v>
      </c>
      <c r="O218" s="7">
        <v>19</v>
      </c>
      <c r="P218" s="7">
        <v>6</v>
      </c>
      <c r="Q218" s="7">
        <v>1</v>
      </c>
      <c r="R218" s="7">
        <v>2</v>
      </c>
      <c r="S218" s="7">
        <v>8</v>
      </c>
    </row>
    <row r="219" spans="1:19">
      <c r="A219" s="6">
        <v>46240</v>
      </c>
      <c r="B219" s="7" t="s">
        <v>24</v>
      </c>
      <c r="C219" s="7" t="s">
        <v>40</v>
      </c>
      <c r="D219" s="7">
        <v>48</v>
      </c>
      <c r="E219" s="7">
        <v>30</v>
      </c>
      <c r="F219" s="7">
        <v>18</v>
      </c>
      <c r="G219" s="7">
        <v>48</v>
      </c>
      <c r="H219" s="8">
        <v>1388.75</v>
      </c>
      <c r="I219" s="8">
        <v>450.64</v>
      </c>
      <c r="J219" s="8">
        <v>352.18</v>
      </c>
      <c r="K219" s="7">
        <v>11</v>
      </c>
      <c r="L219" s="7">
        <v>13</v>
      </c>
      <c r="M219" s="7">
        <v>11</v>
      </c>
      <c r="N219" s="7">
        <v>13</v>
      </c>
      <c r="O219" s="7">
        <v>18</v>
      </c>
      <c r="P219" s="7">
        <v>5</v>
      </c>
      <c r="Q219" s="7">
        <v>1</v>
      </c>
      <c r="R219" s="7">
        <v>3</v>
      </c>
      <c r="S219" s="7">
        <v>10</v>
      </c>
    </row>
    <row r="220" spans="1:19">
      <c r="A220" s="6">
        <v>46241</v>
      </c>
      <c r="B220" s="7" t="s">
        <v>24</v>
      </c>
      <c r="C220" s="7" t="s">
        <v>41</v>
      </c>
      <c r="D220" s="7">
        <v>74</v>
      </c>
      <c r="E220" s="7">
        <v>46</v>
      </c>
      <c r="F220" s="7">
        <v>28</v>
      </c>
      <c r="G220" s="7">
        <v>71</v>
      </c>
      <c r="H220" s="8">
        <v>2296.85</v>
      </c>
      <c r="I220" s="8">
        <v>811.12</v>
      </c>
      <c r="J220" s="8">
        <v>507.57</v>
      </c>
      <c r="K220" s="7">
        <v>21</v>
      </c>
      <c r="L220" s="7">
        <v>18</v>
      </c>
      <c r="M220" s="7">
        <v>13</v>
      </c>
      <c r="N220" s="7">
        <v>16</v>
      </c>
      <c r="O220" s="7">
        <v>27</v>
      </c>
      <c r="P220" s="7">
        <v>6</v>
      </c>
      <c r="Q220" s="7">
        <v>1</v>
      </c>
      <c r="R220" s="7">
        <v>5</v>
      </c>
      <c r="S220" s="7">
        <v>10</v>
      </c>
    </row>
    <row r="221" spans="1:19">
      <c r="A221" s="6">
        <v>46242</v>
      </c>
      <c r="B221" s="7" t="s">
        <v>24</v>
      </c>
      <c r="C221" s="7" t="s">
        <v>42</v>
      </c>
      <c r="D221" s="7">
        <v>99</v>
      </c>
      <c r="E221" s="7">
        <v>59</v>
      </c>
      <c r="F221" s="7">
        <v>40</v>
      </c>
      <c r="G221" s="7">
        <v>100</v>
      </c>
      <c r="H221" s="8">
        <v>3032.32</v>
      </c>
      <c r="I221" s="8">
        <v>1086.54</v>
      </c>
      <c r="J221" s="8">
        <v>742.96</v>
      </c>
      <c r="K221" s="7">
        <v>33</v>
      </c>
      <c r="L221" s="7">
        <v>23</v>
      </c>
      <c r="M221" s="7">
        <v>24</v>
      </c>
      <c r="N221" s="7">
        <v>23</v>
      </c>
      <c r="O221" s="7">
        <v>40</v>
      </c>
      <c r="P221" s="7">
        <v>9</v>
      </c>
      <c r="Q221" s="7">
        <v>1</v>
      </c>
      <c r="R221" s="7">
        <v>4</v>
      </c>
      <c r="S221" s="7">
        <v>11</v>
      </c>
    </row>
    <row r="222" spans="1:19">
      <c r="A222" s="6">
        <v>46243</v>
      </c>
      <c r="B222" s="7" t="s">
        <v>24</v>
      </c>
      <c r="C222" s="7" t="s">
        <v>43</v>
      </c>
      <c r="D222" s="7">
        <v>67</v>
      </c>
      <c r="E222" s="7">
        <v>38</v>
      </c>
      <c r="F222" s="7">
        <v>29</v>
      </c>
      <c r="G222" s="7">
        <v>66</v>
      </c>
      <c r="H222" s="8">
        <v>2042.02</v>
      </c>
      <c r="I222" s="8">
        <v>689.95</v>
      </c>
      <c r="J222" s="8">
        <v>467.59</v>
      </c>
      <c r="K222" s="7">
        <v>20</v>
      </c>
      <c r="L222" s="7">
        <v>19</v>
      </c>
      <c r="M222" s="7">
        <v>14</v>
      </c>
      <c r="N222" s="7">
        <v>16</v>
      </c>
      <c r="O222" s="7">
        <v>20</v>
      </c>
      <c r="P222" s="7">
        <v>7</v>
      </c>
      <c r="Q222" s="7">
        <v>1</v>
      </c>
      <c r="R222" s="7">
        <v>2</v>
      </c>
      <c r="S222" s="7">
        <v>9</v>
      </c>
    </row>
    <row r="223" spans="1:19">
      <c r="A223" s="6">
        <v>46244</v>
      </c>
      <c r="B223" s="7" t="s">
        <v>24</v>
      </c>
      <c r="C223" s="7" t="s">
        <v>44</v>
      </c>
      <c r="D223" s="7">
        <v>38</v>
      </c>
      <c r="E223" s="7">
        <v>23</v>
      </c>
      <c r="F223" s="7">
        <v>15</v>
      </c>
      <c r="G223" s="7">
        <v>38</v>
      </c>
      <c r="H223" s="8">
        <v>1080.6199999999999</v>
      </c>
      <c r="I223" s="8">
        <v>381.65</v>
      </c>
      <c r="J223" s="8">
        <v>232.64</v>
      </c>
      <c r="K223" s="7">
        <v>11</v>
      </c>
      <c r="L223" s="7">
        <v>11</v>
      </c>
      <c r="M223" s="7">
        <v>8</v>
      </c>
      <c r="N223" s="7">
        <v>10</v>
      </c>
      <c r="O223" s="7">
        <v>13</v>
      </c>
      <c r="P223" s="7">
        <v>2</v>
      </c>
      <c r="Q223" s="7">
        <v>0</v>
      </c>
      <c r="R223" s="7">
        <v>1</v>
      </c>
      <c r="S223" s="7">
        <v>6</v>
      </c>
    </row>
    <row r="224" spans="1:19">
      <c r="A224" s="6">
        <v>46245</v>
      </c>
      <c r="B224" s="7" t="s">
        <v>24</v>
      </c>
      <c r="C224" s="7" t="s">
        <v>45</v>
      </c>
      <c r="D224" s="7">
        <v>39</v>
      </c>
      <c r="E224" s="7">
        <v>24</v>
      </c>
      <c r="F224" s="7">
        <v>15</v>
      </c>
      <c r="G224" s="7">
        <v>39</v>
      </c>
      <c r="H224" s="8">
        <v>1141.1400000000001</v>
      </c>
      <c r="I224" s="8">
        <v>373.66</v>
      </c>
      <c r="J224" s="8">
        <v>287.12</v>
      </c>
      <c r="K224" s="7">
        <v>10</v>
      </c>
      <c r="L224" s="7">
        <v>9</v>
      </c>
      <c r="M224" s="7">
        <v>8</v>
      </c>
      <c r="N224" s="7">
        <v>9</v>
      </c>
      <c r="O224" s="7">
        <v>12</v>
      </c>
      <c r="P224" s="7">
        <v>5</v>
      </c>
      <c r="Q224" s="7">
        <v>1</v>
      </c>
      <c r="R224" s="7">
        <v>2</v>
      </c>
      <c r="S224" s="7">
        <v>5</v>
      </c>
    </row>
    <row r="225" spans="1:19">
      <c r="A225" s="6">
        <v>46246</v>
      </c>
      <c r="B225" s="7" t="s">
        <v>24</v>
      </c>
      <c r="C225" s="7" t="s">
        <v>46</v>
      </c>
      <c r="D225" s="7">
        <v>55</v>
      </c>
      <c r="E225" s="7">
        <v>30</v>
      </c>
      <c r="F225" s="7">
        <v>25</v>
      </c>
      <c r="G225" s="7">
        <v>53</v>
      </c>
      <c r="H225" s="8">
        <v>1633.88</v>
      </c>
      <c r="I225" s="8">
        <v>596</v>
      </c>
      <c r="J225" s="8">
        <v>376.71</v>
      </c>
      <c r="K225" s="7">
        <v>17</v>
      </c>
      <c r="L225" s="7">
        <v>13</v>
      </c>
      <c r="M225" s="7">
        <v>10</v>
      </c>
      <c r="N225" s="7">
        <v>14</v>
      </c>
      <c r="O225" s="7">
        <v>22</v>
      </c>
      <c r="P225" s="7">
        <v>5</v>
      </c>
      <c r="Q225" s="7">
        <v>0</v>
      </c>
      <c r="R225" s="7">
        <v>2</v>
      </c>
      <c r="S225" s="7">
        <v>10</v>
      </c>
    </row>
    <row r="226" spans="1:19">
      <c r="A226" s="6">
        <v>46247</v>
      </c>
      <c r="B226" s="7" t="s">
        <v>24</v>
      </c>
      <c r="C226" s="7" t="s">
        <v>40</v>
      </c>
      <c r="D226" s="7">
        <v>50</v>
      </c>
      <c r="E226" s="7">
        <v>31</v>
      </c>
      <c r="F226" s="7">
        <v>19</v>
      </c>
      <c r="G226" s="7">
        <v>48</v>
      </c>
      <c r="H226" s="8">
        <v>1411.36</v>
      </c>
      <c r="I226" s="8">
        <v>447.22</v>
      </c>
      <c r="J226" s="8">
        <v>370.61</v>
      </c>
      <c r="K226" s="7">
        <v>11</v>
      </c>
      <c r="L226" s="7">
        <v>13</v>
      </c>
      <c r="M226" s="7">
        <v>9</v>
      </c>
      <c r="N226" s="7">
        <v>13</v>
      </c>
      <c r="O226" s="7">
        <v>18</v>
      </c>
      <c r="P226" s="7">
        <v>5</v>
      </c>
      <c r="Q226" s="7">
        <v>1</v>
      </c>
      <c r="R226" s="7">
        <v>1</v>
      </c>
      <c r="S226" s="7">
        <v>9</v>
      </c>
    </row>
    <row r="227" spans="1:19">
      <c r="A227" s="6">
        <v>46248</v>
      </c>
      <c r="B227" s="7" t="s">
        <v>24</v>
      </c>
      <c r="C227" s="7" t="s">
        <v>41</v>
      </c>
      <c r="D227" s="7">
        <v>60</v>
      </c>
      <c r="E227" s="7">
        <v>35</v>
      </c>
      <c r="F227" s="7">
        <v>25</v>
      </c>
      <c r="G227" s="7">
        <v>59</v>
      </c>
      <c r="H227" s="8">
        <v>1790.44</v>
      </c>
      <c r="I227" s="8">
        <v>577.70000000000005</v>
      </c>
      <c r="J227" s="8">
        <v>450.67</v>
      </c>
      <c r="K227" s="7">
        <v>17</v>
      </c>
      <c r="L227" s="7">
        <v>15</v>
      </c>
      <c r="M227" s="7">
        <v>13</v>
      </c>
      <c r="N227" s="7">
        <v>14</v>
      </c>
      <c r="O227" s="7">
        <v>19</v>
      </c>
      <c r="P227" s="7">
        <v>6</v>
      </c>
      <c r="Q227" s="7">
        <v>0</v>
      </c>
      <c r="R227" s="7">
        <v>2</v>
      </c>
      <c r="S227" s="7">
        <v>12</v>
      </c>
    </row>
    <row r="228" spans="1:19">
      <c r="A228" s="6">
        <v>46249</v>
      </c>
      <c r="B228" s="7" t="s">
        <v>24</v>
      </c>
      <c r="C228" s="7" t="s">
        <v>42</v>
      </c>
      <c r="D228" s="7">
        <v>92</v>
      </c>
      <c r="E228" s="7">
        <v>57</v>
      </c>
      <c r="F228" s="7">
        <v>35</v>
      </c>
      <c r="G228" s="7">
        <v>87</v>
      </c>
      <c r="H228" s="8">
        <v>2496.19</v>
      </c>
      <c r="I228" s="8">
        <v>811.23</v>
      </c>
      <c r="J228" s="8">
        <v>563.59</v>
      </c>
      <c r="K228" s="7">
        <v>24</v>
      </c>
      <c r="L228" s="7">
        <v>21</v>
      </c>
      <c r="M228" s="7">
        <v>20</v>
      </c>
      <c r="N228" s="7">
        <v>19</v>
      </c>
      <c r="O228" s="7">
        <v>25</v>
      </c>
      <c r="P228" s="7">
        <v>9</v>
      </c>
      <c r="Q228" s="7">
        <v>1</v>
      </c>
      <c r="R228" s="7">
        <v>3</v>
      </c>
      <c r="S228" s="7">
        <v>18</v>
      </c>
    </row>
    <row r="229" spans="1:19">
      <c r="A229" s="6">
        <v>46250</v>
      </c>
      <c r="B229" s="7" t="s">
        <v>24</v>
      </c>
      <c r="C229" s="7" t="s">
        <v>43</v>
      </c>
      <c r="D229" s="7">
        <v>59</v>
      </c>
      <c r="E229" s="7">
        <v>38</v>
      </c>
      <c r="F229" s="7">
        <v>21</v>
      </c>
      <c r="G229" s="7">
        <v>59</v>
      </c>
      <c r="H229" s="8">
        <v>1825.54</v>
      </c>
      <c r="I229" s="8">
        <v>651.28</v>
      </c>
      <c r="J229" s="8">
        <v>456.64</v>
      </c>
      <c r="K229" s="7">
        <v>13</v>
      </c>
      <c r="L229" s="7">
        <v>13</v>
      </c>
      <c r="M229" s="7">
        <v>13</v>
      </c>
      <c r="N229" s="7">
        <v>15</v>
      </c>
      <c r="O229" s="7">
        <v>17</v>
      </c>
      <c r="P229" s="7">
        <v>5</v>
      </c>
      <c r="Q229" s="7">
        <v>0</v>
      </c>
      <c r="R229" s="7">
        <v>2</v>
      </c>
      <c r="S229" s="7">
        <v>13</v>
      </c>
    </row>
    <row r="230" spans="1:19">
      <c r="A230" s="6">
        <v>46251</v>
      </c>
      <c r="B230" s="7" t="s">
        <v>24</v>
      </c>
      <c r="C230" s="7" t="s">
        <v>44</v>
      </c>
      <c r="D230" s="7">
        <v>34</v>
      </c>
      <c r="E230" s="7">
        <v>21</v>
      </c>
      <c r="F230" s="7">
        <v>13</v>
      </c>
      <c r="G230" s="7">
        <v>32</v>
      </c>
      <c r="H230" s="8">
        <v>871.79</v>
      </c>
      <c r="I230" s="8">
        <v>309.56</v>
      </c>
      <c r="J230" s="8">
        <v>199.43</v>
      </c>
      <c r="K230" s="7">
        <v>10</v>
      </c>
      <c r="L230" s="7">
        <v>7</v>
      </c>
      <c r="M230" s="7">
        <v>7</v>
      </c>
      <c r="N230" s="7">
        <v>6</v>
      </c>
      <c r="O230" s="7">
        <v>13</v>
      </c>
      <c r="P230" s="7">
        <v>4</v>
      </c>
      <c r="Q230" s="7">
        <v>0</v>
      </c>
      <c r="R230" s="7">
        <v>1</v>
      </c>
      <c r="S230" s="7">
        <v>5</v>
      </c>
    </row>
    <row r="231" spans="1:19">
      <c r="A231" s="6">
        <v>46252</v>
      </c>
      <c r="B231" s="7" t="s">
        <v>24</v>
      </c>
      <c r="C231" s="7" t="s">
        <v>45</v>
      </c>
      <c r="D231" s="7">
        <v>43</v>
      </c>
      <c r="E231" s="7">
        <v>23</v>
      </c>
      <c r="F231" s="7">
        <v>20</v>
      </c>
      <c r="G231" s="7">
        <v>44</v>
      </c>
      <c r="H231" s="8">
        <v>1146.54</v>
      </c>
      <c r="I231" s="8">
        <v>407.88</v>
      </c>
      <c r="J231" s="8">
        <v>253.35</v>
      </c>
      <c r="K231" s="7">
        <v>11</v>
      </c>
      <c r="L231" s="7">
        <v>13</v>
      </c>
      <c r="M231" s="7">
        <v>9</v>
      </c>
      <c r="N231" s="7">
        <v>10</v>
      </c>
      <c r="O231" s="7">
        <v>18</v>
      </c>
      <c r="P231" s="7">
        <v>5</v>
      </c>
      <c r="Q231" s="7">
        <v>0</v>
      </c>
      <c r="R231" s="7">
        <v>2</v>
      </c>
      <c r="S231" s="7">
        <v>9</v>
      </c>
    </row>
    <row r="232" spans="1:19">
      <c r="A232" s="6">
        <v>46253</v>
      </c>
      <c r="B232" s="7" t="s">
        <v>24</v>
      </c>
      <c r="C232" s="7" t="s">
        <v>46</v>
      </c>
      <c r="D232" s="7">
        <v>45</v>
      </c>
      <c r="E232" s="7">
        <v>22</v>
      </c>
      <c r="F232" s="7">
        <v>23</v>
      </c>
      <c r="G232" s="7">
        <v>43</v>
      </c>
      <c r="H232" s="8">
        <v>1203.8399999999999</v>
      </c>
      <c r="I232" s="8">
        <v>414.77</v>
      </c>
      <c r="J232" s="8">
        <v>310.75</v>
      </c>
      <c r="K232" s="7">
        <v>13</v>
      </c>
      <c r="L232" s="7">
        <v>10</v>
      </c>
      <c r="M232" s="7">
        <v>9</v>
      </c>
      <c r="N232" s="7">
        <v>9</v>
      </c>
      <c r="O232" s="7">
        <v>12</v>
      </c>
      <c r="P232" s="7">
        <v>5</v>
      </c>
      <c r="Q232" s="7">
        <v>0</v>
      </c>
      <c r="R232" s="7">
        <v>3</v>
      </c>
      <c r="S232" s="7">
        <v>9</v>
      </c>
    </row>
    <row r="233" spans="1:19">
      <c r="A233" s="6">
        <v>46254</v>
      </c>
      <c r="B233" s="7" t="s">
        <v>24</v>
      </c>
      <c r="C233" s="7" t="s">
        <v>40</v>
      </c>
      <c r="D233" s="7">
        <v>48</v>
      </c>
      <c r="E233" s="7">
        <v>24</v>
      </c>
      <c r="F233" s="7">
        <v>24</v>
      </c>
      <c r="G233" s="7">
        <v>45</v>
      </c>
      <c r="H233" s="8">
        <v>1258.55</v>
      </c>
      <c r="I233" s="8">
        <v>399.34</v>
      </c>
      <c r="J233" s="8">
        <v>284.05</v>
      </c>
      <c r="K233" s="7">
        <v>11</v>
      </c>
      <c r="L233" s="7">
        <v>13</v>
      </c>
      <c r="M233" s="7">
        <v>10</v>
      </c>
      <c r="N233" s="7">
        <v>11</v>
      </c>
      <c r="O233" s="7">
        <v>16</v>
      </c>
      <c r="P233" s="7">
        <v>5</v>
      </c>
      <c r="Q233" s="7">
        <v>1</v>
      </c>
      <c r="R233" s="7">
        <v>4</v>
      </c>
      <c r="S233" s="7">
        <v>8</v>
      </c>
    </row>
    <row r="234" spans="1:19">
      <c r="A234" s="6">
        <v>46255</v>
      </c>
      <c r="B234" s="7" t="s">
        <v>24</v>
      </c>
      <c r="C234" s="7" t="s">
        <v>41</v>
      </c>
      <c r="D234" s="7">
        <v>57</v>
      </c>
      <c r="E234" s="7">
        <v>36</v>
      </c>
      <c r="F234" s="7">
        <v>21</v>
      </c>
      <c r="G234" s="7">
        <v>57</v>
      </c>
      <c r="H234" s="8">
        <v>1652.51</v>
      </c>
      <c r="I234" s="8">
        <v>549.11</v>
      </c>
      <c r="J234" s="8">
        <v>414.08</v>
      </c>
      <c r="K234" s="7">
        <v>14</v>
      </c>
      <c r="L234" s="7">
        <v>17</v>
      </c>
      <c r="M234" s="7">
        <v>12</v>
      </c>
      <c r="N234" s="7">
        <v>15</v>
      </c>
      <c r="O234" s="7">
        <v>16</v>
      </c>
      <c r="P234" s="7">
        <v>6</v>
      </c>
      <c r="Q234" s="7">
        <v>1</v>
      </c>
      <c r="R234" s="7">
        <v>2</v>
      </c>
      <c r="S234" s="7">
        <v>12</v>
      </c>
    </row>
    <row r="235" spans="1:19">
      <c r="A235" s="6">
        <v>46256</v>
      </c>
      <c r="B235" s="7" t="s">
        <v>24</v>
      </c>
      <c r="C235" s="7" t="s">
        <v>42</v>
      </c>
      <c r="D235" s="7">
        <v>90</v>
      </c>
      <c r="E235" s="7">
        <v>45</v>
      </c>
      <c r="F235" s="7">
        <v>45</v>
      </c>
      <c r="G235" s="7">
        <v>84</v>
      </c>
      <c r="H235" s="8">
        <v>2557.79</v>
      </c>
      <c r="I235" s="8">
        <v>836.51</v>
      </c>
      <c r="J235" s="8">
        <v>686.02</v>
      </c>
      <c r="K235" s="7">
        <v>17</v>
      </c>
      <c r="L235" s="7">
        <v>20</v>
      </c>
      <c r="M235" s="7">
        <v>19</v>
      </c>
      <c r="N235" s="7">
        <v>19</v>
      </c>
      <c r="O235" s="7">
        <v>26</v>
      </c>
      <c r="P235" s="7">
        <v>8</v>
      </c>
      <c r="Q235" s="7">
        <v>1</v>
      </c>
      <c r="R235" s="7">
        <v>6</v>
      </c>
      <c r="S235" s="7">
        <v>13</v>
      </c>
    </row>
    <row r="236" spans="1:19">
      <c r="A236" s="6">
        <v>46257</v>
      </c>
      <c r="B236" s="7" t="s">
        <v>24</v>
      </c>
      <c r="C236" s="7" t="s">
        <v>43</v>
      </c>
      <c r="D236" s="7">
        <v>59</v>
      </c>
      <c r="E236" s="7">
        <v>33</v>
      </c>
      <c r="F236" s="7">
        <v>26</v>
      </c>
      <c r="G236" s="7">
        <v>59</v>
      </c>
      <c r="H236" s="8">
        <v>1540.84</v>
      </c>
      <c r="I236" s="8">
        <v>517.13</v>
      </c>
      <c r="J236" s="8">
        <v>375.08</v>
      </c>
      <c r="K236" s="7">
        <v>12</v>
      </c>
      <c r="L236" s="7">
        <v>13</v>
      </c>
      <c r="M236" s="7">
        <v>13</v>
      </c>
      <c r="N236" s="7">
        <v>14</v>
      </c>
      <c r="O236" s="7">
        <v>19</v>
      </c>
      <c r="P236" s="7">
        <v>6</v>
      </c>
      <c r="Q236" s="7">
        <v>1</v>
      </c>
      <c r="R236" s="7">
        <v>2</v>
      </c>
      <c r="S236" s="7">
        <v>11</v>
      </c>
    </row>
    <row r="237" spans="1:19">
      <c r="A237" s="6">
        <v>46258</v>
      </c>
      <c r="B237" s="7" t="s">
        <v>24</v>
      </c>
      <c r="C237" s="7" t="s">
        <v>44</v>
      </c>
      <c r="D237" s="7">
        <v>36</v>
      </c>
      <c r="E237" s="7">
        <v>21</v>
      </c>
      <c r="F237" s="7">
        <v>15</v>
      </c>
      <c r="G237" s="7">
        <v>34</v>
      </c>
      <c r="H237" s="8">
        <v>912.48</v>
      </c>
      <c r="I237" s="8">
        <v>308.17</v>
      </c>
      <c r="J237" s="8">
        <v>222.29</v>
      </c>
      <c r="K237" s="7">
        <v>10</v>
      </c>
      <c r="L237" s="7">
        <v>9</v>
      </c>
      <c r="M237" s="7">
        <v>8</v>
      </c>
      <c r="N237" s="7">
        <v>8</v>
      </c>
      <c r="O237" s="7">
        <v>10</v>
      </c>
      <c r="P237" s="7">
        <v>4</v>
      </c>
      <c r="Q237" s="7">
        <v>1</v>
      </c>
      <c r="R237" s="7">
        <v>1</v>
      </c>
      <c r="S237" s="7">
        <v>5</v>
      </c>
    </row>
    <row r="238" spans="1:19">
      <c r="A238" s="6">
        <v>46259</v>
      </c>
      <c r="B238" s="7" t="s">
        <v>24</v>
      </c>
      <c r="C238" s="7" t="s">
        <v>45</v>
      </c>
      <c r="D238" s="7">
        <v>46</v>
      </c>
      <c r="E238" s="7">
        <v>26</v>
      </c>
      <c r="F238" s="7">
        <v>20</v>
      </c>
      <c r="G238" s="7">
        <v>46</v>
      </c>
      <c r="H238" s="8">
        <v>1185.6300000000001</v>
      </c>
      <c r="I238" s="8">
        <v>383.2</v>
      </c>
      <c r="J238" s="8">
        <v>258.97000000000003</v>
      </c>
      <c r="K238" s="7">
        <v>14</v>
      </c>
      <c r="L238" s="7">
        <v>13</v>
      </c>
      <c r="M238" s="7">
        <v>9</v>
      </c>
      <c r="N238" s="7">
        <v>11</v>
      </c>
      <c r="O238" s="7">
        <v>14</v>
      </c>
      <c r="P238" s="7">
        <v>6</v>
      </c>
      <c r="Q238" s="7">
        <v>1</v>
      </c>
      <c r="R238" s="7">
        <v>2</v>
      </c>
      <c r="S238" s="7">
        <v>7</v>
      </c>
    </row>
    <row r="239" spans="1:19">
      <c r="A239" s="6">
        <v>46260</v>
      </c>
      <c r="B239" s="7" t="s">
        <v>24</v>
      </c>
      <c r="C239" s="7" t="s">
        <v>46</v>
      </c>
      <c r="D239" s="7">
        <v>44</v>
      </c>
      <c r="E239" s="7">
        <v>23</v>
      </c>
      <c r="F239" s="7">
        <v>21</v>
      </c>
      <c r="G239" s="7">
        <v>41</v>
      </c>
      <c r="H239" s="8">
        <v>1147.46</v>
      </c>
      <c r="I239" s="8">
        <v>414.61</v>
      </c>
      <c r="J239" s="8">
        <v>298.62</v>
      </c>
      <c r="K239" s="7">
        <v>12</v>
      </c>
      <c r="L239" s="7">
        <v>12</v>
      </c>
      <c r="M239" s="7">
        <v>9</v>
      </c>
      <c r="N239" s="7">
        <v>10</v>
      </c>
      <c r="O239" s="7">
        <v>17</v>
      </c>
      <c r="P239" s="7">
        <v>3</v>
      </c>
      <c r="Q239" s="7">
        <v>0</v>
      </c>
      <c r="R239" s="7">
        <v>2</v>
      </c>
      <c r="S239" s="7">
        <v>7</v>
      </c>
    </row>
    <row r="240" spans="1:19">
      <c r="A240" s="6">
        <v>46261</v>
      </c>
      <c r="B240" s="7" t="s">
        <v>24</v>
      </c>
      <c r="C240" s="7" t="s">
        <v>40</v>
      </c>
      <c r="D240" s="7">
        <v>60</v>
      </c>
      <c r="E240" s="7">
        <v>34</v>
      </c>
      <c r="F240" s="7">
        <v>26</v>
      </c>
      <c r="G240" s="7">
        <v>59</v>
      </c>
      <c r="H240" s="8">
        <v>1830.59</v>
      </c>
      <c r="I240" s="8">
        <v>592.86</v>
      </c>
      <c r="J240" s="8">
        <v>447.97</v>
      </c>
      <c r="K240" s="7">
        <v>18</v>
      </c>
      <c r="L240" s="7">
        <v>14</v>
      </c>
      <c r="M240" s="7">
        <v>12</v>
      </c>
      <c r="N240" s="7">
        <v>14</v>
      </c>
      <c r="O240" s="7">
        <v>24</v>
      </c>
      <c r="P240" s="7">
        <v>6</v>
      </c>
      <c r="Q240" s="7">
        <v>1</v>
      </c>
      <c r="R240" s="7">
        <v>3</v>
      </c>
      <c r="S240" s="7">
        <v>13</v>
      </c>
    </row>
    <row r="241" spans="1:19">
      <c r="A241" s="6">
        <v>46262</v>
      </c>
      <c r="B241" s="7" t="s">
        <v>24</v>
      </c>
      <c r="C241" s="7" t="s">
        <v>41</v>
      </c>
      <c r="D241" s="7">
        <v>63</v>
      </c>
      <c r="E241" s="7">
        <v>33</v>
      </c>
      <c r="F241" s="7">
        <v>30</v>
      </c>
      <c r="G241" s="7">
        <v>60</v>
      </c>
      <c r="H241" s="8">
        <v>1996.89</v>
      </c>
      <c r="I241" s="8">
        <v>725.92</v>
      </c>
      <c r="J241" s="8">
        <v>473.6</v>
      </c>
      <c r="K241" s="7">
        <v>13</v>
      </c>
      <c r="L241" s="7">
        <v>15</v>
      </c>
      <c r="M241" s="7">
        <v>14</v>
      </c>
      <c r="N241" s="7">
        <v>15</v>
      </c>
      <c r="O241" s="7">
        <v>19</v>
      </c>
      <c r="P241" s="7">
        <v>7</v>
      </c>
      <c r="Q241" s="7">
        <v>1</v>
      </c>
      <c r="R241" s="7">
        <v>4</v>
      </c>
      <c r="S241" s="7">
        <v>11</v>
      </c>
    </row>
    <row r="242" spans="1:19">
      <c r="A242" s="6">
        <v>46263</v>
      </c>
      <c r="B242" s="7" t="s">
        <v>24</v>
      </c>
      <c r="C242" s="7" t="s">
        <v>42</v>
      </c>
      <c r="D242" s="7">
        <v>86</v>
      </c>
      <c r="E242" s="7">
        <v>46</v>
      </c>
      <c r="F242" s="7">
        <v>40</v>
      </c>
      <c r="G242" s="7">
        <v>82</v>
      </c>
      <c r="H242" s="8">
        <v>2424.88</v>
      </c>
      <c r="I242" s="8">
        <v>845.36</v>
      </c>
      <c r="J242" s="8">
        <v>652</v>
      </c>
      <c r="K242" s="7">
        <v>24</v>
      </c>
      <c r="L242" s="7">
        <v>25</v>
      </c>
      <c r="M242" s="7">
        <v>18</v>
      </c>
      <c r="N242" s="7">
        <v>20</v>
      </c>
      <c r="O242" s="7">
        <v>27</v>
      </c>
      <c r="P242" s="7">
        <v>6</v>
      </c>
      <c r="Q242" s="7">
        <v>1</v>
      </c>
      <c r="R242" s="7">
        <v>4</v>
      </c>
      <c r="S242" s="7">
        <v>13</v>
      </c>
    </row>
    <row r="243" spans="1:19">
      <c r="A243" s="6">
        <v>46264</v>
      </c>
      <c r="B243" s="7" t="s">
        <v>24</v>
      </c>
      <c r="C243" s="7" t="s">
        <v>43</v>
      </c>
      <c r="D243" s="7">
        <v>58</v>
      </c>
      <c r="E243" s="7">
        <v>31</v>
      </c>
      <c r="F243" s="7">
        <v>27</v>
      </c>
      <c r="G243" s="7">
        <v>56</v>
      </c>
      <c r="H243" s="8">
        <v>1679.28</v>
      </c>
      <c r="I243" s="8">
        <v>599.62</v>
      </c>
      <c r="J243" s="8">
        <v>381.46</v>
      </c>
      <c r="K243" s="7">
        <v>18</v>
      </c>
      <c r="L243" s="7">
        <v>16</v>
      </c>
      <c r="M243" s="7">
        <v>12</v>
      </c>
      <c r="N243" s="7">
        <v>11</v>
      </c>
      <c r="O243" s="7">
        <v>17</v>
      </c>
      <c r="P243" s="7">
        <v>6</v>
      </c>
      <c r="Q243" s="7">
        <v>1</v>
      </c>
      <c r="R243" s="7">
        <v>2</v>
      </c>
      <c r="S243" s="7">
        <v>11</v>
      </c>
    </row>
    <row r="244" spans="1:19">
      <c r="A244" s="6">
        <v>46265</v>
      </c>
      <c r="B244" s="7" t="s">
        <v>24</v>
      </c>
      <c r="C244" s="7" t="s">
        <v>44</v>
      </c>
      <c r="D244" s="7">
        <v>34</v>
      </c>
      <c r="E244" s="7">
        <v>17</v>
      </c>
      <c r="F244" s="7">
        <v>17</v>
      </c>
      <c r="G244" s="7">
        <v>34</v>
      </c>
      <c r="H244" s="8">
        <v>927.21</v>
      </c>
      <c r="I244" s="8">
        <v>327.01</v>
      </c>
      <c r="J244" s="8">
        <v>196.51</v>
      </c>
      <c r="K244" s="7">
        <v>11</v>
      </c>
      <c r="L244" s="7">
        <v>8</v>
      </c>
      <c r="M244" s="7">
        <v>8</v>
      </c>
      <c r="N244" s="7">
        <v>8</v>
      </c>
      <c r="O244" s="7">
        <v>14</v>
      </c>
      <c r="P244" s="7">
        <v>4</v>
      </c>
      <c r="Q244" s="7">
        <v>1</v>
      </c>
      <c r="R244" s="7">
        <v>2</v>
      </c>
      <c r="S244" s="7">
        <v>4</v>
      </c>
    </row>
    <row r="245" spans="1:19">
      <c r="A245" s="6">
        <v>46266</v>
      </c>
      <c r="B245" s="7" t="s">
        <v>25</v>
      </c>
      <c r="C245" s="7" t="s">
        <v>45</v>
      </c>
      <c r="D245" s="7">
        <v>45</v>
      </c>
      <c r="E245" s="7">
        <v>23</v>
      </c>
      <c r="F245" s="7">
        <v>22</v>
      </c>
      <c r="G245" s="7">
        <v>43</v>
      </c>
      <c r="H245" s="8">
        <v>1267.94</v>
      </c>
      <c r="I245" s="8">
        <v>458.14</v>
      </c>
      <c r="J245" s="8">
        <v>295.75</v>
      </c>
      <c r="K245" s="7">
        <v>14</v>
      </c>
      <c r="L245" s="7">
        <v>13</v>
      </c>
      <c r="M245" s="7">
        <v>9</v>
      </c>
      <c r="N245" s="7">
        <v>10</v>
      </c>
      <c r="O245" s="7">
        <v>12</v>
      </c>
      <c r="P245" s="7">
        <v>3</v>
      </c>
      <c r="Q245" s="7">
        <v>0</v>
      </c>
      <c r="R245" s="7">
        <v>3</v>
      </c>
      <c r="S245" s="7">
        <v>8</v>
      </c>
    </row>
    <row r="246" spans="1:19">
      <c r="A246" s="6">
        <v>46267</v>
      </c>
      <c r="B246" s="7" t="s">
        <v>25</v>
      </c>
      <c r="C246" s="7" t="s">
        <v>46</v>
      </c>
      <c r="D246" s="7">
        <v>50</v>
      </c>
      <c r="E246" s="7">
        <v>26</v>
      </c>
      <c r="F246" s="7">
        <v>24</v>
      </c>
      <c r="G246" s="7">
        <v>50</v>
      </c>
      <c r="H246" s="8">
        <v>1501.53</v>
      </c>
      <c r="I246" s="8">
        <v>514.02</v>
      </c>
      <c r="J246" s="8">
        <v>369.68</v>
      </c>
      <c r="K246" s="7">
        <v>15</v>
      </c>
      <c r="L246" s="7">
        <v>15</v>
      </c>
      <c r="M246" s="7">
        <v>10</v>
      </c>
      <c r="N246" s="7">
        <v>10</v>
      </c>
      <c r="O246" s="7">
        <v>19</v>
      </c>
      <c r="P246" s="7">
        <v>4</v>
      </c>
      <c r="Q246" s="7">
        <v>0</v>
      </c>
      <c r="R246" s="7">
        <v>2</v>
      </c>
      <c r="S246" s="7">
        <v>8</v>
      </c>
    </row>
    <row r="247" spans="1:19">
      <c r="A247" s="6">
        <v>46268</v>
      </c>
      <c r="B247" s="7" t="s">
        <v>25</v>
      </c>
      <c r="C247" s="7" t="s">
        <v>40</v>
      </c>
      <c r="D247" s="7">
        <v>37</v>
      </c>
      <c r="E247" s="7">
        <v>21</v>
      </c>
      <c r="F247" s="7">
        <v>16</v>
      </c>
      <c r="G247" s="7">
        <v>36</v>
      </c>
      <c r="H247" s="8">
        <v>946.09</v>
      </c>
      <c r="I247" s="8">
        <v>325.64</v>
      </c>
      <c r="J247" s="8">
        <v>213.15</v>
      </c>
      <c r="K247" s="7">
        <v>9</v>
      </c>
      <c r="L247" s="7">
        <v>10</v>
      </c>
      <c r="M247" s="7">
        <v>7</v>
      </c>
      <c r="N247" s="7">
        <v>7</v>
      </c>
      <c r="O247" s="7">
        <v>12</v>
      </c>
      <c r="P247" s="7">
        <v>2</v>
      </c>
      <c r="Q247" s="7">
        <v>0</v>
      </c>
      <c r="R247" s="7">
        <v>3</v>
      </c>
      <c r="S247" s="7">
        <v>6</v>
      </c>
    </row>
    <row r="248" spans="1:19">
      <c r="A248" s="6">
        <v>46269</v>
      </c>
      <c r="B248" s="7" t="s">
        <v>25</v>
      </c>
      <c r="C248" s="7" t="s">
        <v>41</v>
      </c>
      <c r="D248" s="7">
        <v>58</v>
      </c>
      <c r="E248" s="7">
        <v>34</v>
      </c>
      <c r="F248" s="7">
        <v>24</v>
      </c>
      <c r="G248" s="7">
        <v>58</v>
      </c>
      <c r="H248" s="8">
        <v>1705.61</v>
      </c>
      <c r="I248" s="8">
        <v>556.03</v>
      </c>
      <c r="J248" s="8">
        <v>376.99</v>
      </c>
      <c r="K248" s="7">
        <v>12</v>
      </c>
      <c r="L248" s="7">
        <v>15</v>
      </c>
      <c r="M248" s="7">
        <v>12</v>
      </c>
      <c r="N248" s="7">
        <v>14</v>
      </c>
      <c r="O248" s="7">
        <v>17</v>
      </c>
      <c r="P248" s="7">
        <v>4</v>
      </c>
      <c r="Q248" s="7">
        <v>0</v>
      </c>
      <c r="R248" s="7">
        <v>2</v>
      </c>
      <c r="S248" s="7">
        <v>8</v>
      </c>
    </row>
    <row r="249" spans="1:19">
      <c r="A249" s="6">
        <v>46270</v>
      </c>
      <c r="B249" s="7" t="s">
        <v>25</v>
      </c>
      <c r="C249" s="7" t="s">
        <v>42</v>
      </c>
      <c r="D249" s="7">
        <v>91</v>
      </c>
      <c r="E249" s="7">
        <v>55</v>
      </c>
      <c r="F249" s="7">
        <v>36</v>
      </c>
      <c r="G249" s="7">
        <v>91</v>
      </c>
      <c r="H249" s="8">
        <v>2792.15</v>
      </c>
      <c r="I249" s="8">
        <v>1018.66</v>
      </c>
      <c r="J249" s="8">
        <v>724.34</v>
      </c>
      <c r="K249" s="7">
        <v>31</v>
      </c>
      <c r="L249" s="7">
        <v>20</v>
      </c>
      <c r="M249" s="7">
        <v>21</v>
      </c>
      <c r="N249" s="7">
        <v>21</v>
      </c>
      <c r="O249" s="7">
        <v>37</v>
      </c>
      <c r="P249" s="7">
        <v>9</v>
      </c>
      <c r="Q249" s="7">
        <v>1</v>
      </c>
      <c r="R249" s="7">
        <v>5</v>
      </c>
      <c r="S249" s="7">
        <v>20</v>
      </c>
    </row>
    <row r="250" spans="1:19">
      <c r="A250" s="6">
        <v>46271</v>
      </c>
      <c r="B250" s="7" t="s">
        <v>25</v>
      </c>
      <c r="C250" s="7" t="s">
        <v>43</v>
      </c>
      <c r="D250" s="7">
        <v>53</v>
      </c>
      <c r="E250" s="7">
        <v>26</v>
      </c>
      <c r="F250" s="7">
        <v>27</v>
      </c>
      <c r="G250" s="7">
        <v>51</v>
      </c>
      <c r="H250" s="8">
        <v>1465.81</v>
      </c>
      <c r="I250" s="8">
        <v>482.46</v>
      </c>
      <c r="J250" s="8">
        <v>387.97</v>
      </c>
      <c r="K250" s="7">
        <v>16</v>
      </c>
      <c r="L250" s="7">
        <v>13</v>
      </c>
      <c r="M250" s="7">
        <v>12</v>
      </c>
      <c r="N250" s="7">
        <v>12</v>
      </c>
      <c r="O250" s="7">
        <v>15</v>
      </c>
      <c r="P250" s="7">
        <v>7</v>
      </c>
      <c r="Q250" s="7">
        <v>1</v>
      </c>
      <c r="R250" s="7">
        <v>2</v>
      </c>
      <c r="S250" s="7">
        <v>8</v>
      </c>
    </row>
    <row r="251" spans="1:19">
      <c r="A251" s="6">
        <v>46272</v>
      </c>
      <c r="B251" s="7" t="s">
        <v>25</v>
      </c>
      <c r="C251" s="7" t="s">
        <v>44</v>
      </c>
      <c r="D251" s="7">
        <v>42</v>
      </c>
      <c r="E251" s="7">
        <v>26</v>
      </c>
      <c r="F251" s="7">
        <v>16</v>
      </c>
      <c r="G251" s="7">
        <v>43</v>
      </c>
      <c r="H251" s="8">
        <v>1235.3</v>
      </c>
      <c r="I251" s="8">
        <v>389.57</v>
      </c>
      <c r="J251" s="8">
        <v>264.27</v>
      </c>
      <c r="K251" s="7">
        <v>13</v>
      </c>
      <c r="L251" s="7">
        <v>12</v>
      </c>
      <c r="M251" s="7">
        <v>10</v>
      </c>
      <c r="N251" s="7">
        <v>10</v>
      </c>
      <c r="O251" s="7">
        <v>13</v>
      </c>
      <c r="P251" s="7">
        <v>4</v>
      </c>
      <c r="Q251" s="7">
        <v>1</v>
      </c>
      <c r="R251" s="7">
        <v>3</v>
      </c>
      <c r="S251" s="7">
        <v>9</v>
      </c>
    </row>
    <row r="252" spans="1:19">
      <c r="A252" s="6">
        <v>46273</v>
      </c>
      <c r="B252" s="7" t="s">
        <v>25</v>
      </c>
      <c r="C252" s="7" t="s">
        <v>45</v>
      </c>
      <c r="D252" s="7">
        <v>34</v>
      </c>
      <c r="E252" s="7">
        <v>18</v>
      </c>
      <c r="F252" s="7">
        <v>16</v>
      </c>
      <c r="G252" s="7">
        <v>32</v>
      </c>
      <c r="H252" s="8">
        <v>904.17</v>
      </c>
      <c r="I252" s="8">
        <v>299.81</v>
      </c>
      <c r="J252" s="8">
        <v>194.62</v>
      </c>
      <c r="K252" s="7">
        <v>7</v>
      </c>
      <c r="L252" s="7">
        <v>9</v>
      </c>
      <c r="M252" s="7">
        <v>7</v>
      </c>
      <c r="N252" s="7">
        <v>8</v>
      </c>
      <c r="O252" s="7">
        <v>10</v>
      </c>
      <c r="P252" s="7">
        <v>3</v>
      </c>
      <c r="Q252" s="7">
        <v>0</v>
      </c>
      <c r="R252" s="7">
        <v>2</v>
      </c>
      <c r="S252" s="7">
        <v>6</v>
      </c>
    </row>
    <row r="253" spans="1:19">
      <c r="A253" s="6">
        <v>46274</v>
      </c>
      <c r="B253" s="7" t="s">
        <v>25</v>
      </c>
      <c r="C253" s="7" t="s">
        <v>46</v>
      </c>
      <c r="D253" s="7">
        <v>33</v>
      </c>
      <c r="E253" s="7">
        <v>21</v>
      </c>
      <c r="F253" s="7">
        <v>12</v>
      </c>
      <c r="G253" s="7">
        <v>33</v>
      </c>
      <c r="H253" s="8">
        <v>947.4</v>
      </c>
      <c r="I253" s="8">
        <v>328.82</v>
      </c>
      <c r="J253" s="8">
        <v>234.1</v>
      </c>
      <c r="K253" s="7">
        <v>10</v>
      </c>
      <c r="L253" s="7">
        <v>9</v>
      </c>
      <c r="M253" s="7">
        <v>8</v>
      </c>
      <c r="N253" s="7">
        <v>6</v>
      </c>
      <c r="O253" s="7">
        <v>14</v>
      </c>
      <c r="P253" s="7">
        <v>2</v>
      </c>
      <c r="Q253" s="7">
        <v>0</v>
      </c>
      <c r="R253" s="7">
        <v>2</v>
      </c>
      <c r="S253" s="7">
        <v>4</v>
      </c>
    </row>
    <row r="254" spans="1:19">
      <c r="A254" s="6">
        <v>46275</v>
      </c>
      <c r="B254" s="7" t="s">
        <v>25</v>
      </c>
      <c r="C254" s="7" t="s">
        <v>40</v>
      </c>
      <c r="D254" s="7">
        <v>49</v>
      </c>
      <c r="E254" s="7">
        <v>28</v>
      </c>
      <c r="F254" s="7">
        <v>21</v>
      </c>
      <c r="G254" s="7">
        <v>49</v>
      </c>
      <c r="H254" s="8">
        <v>1388.85</v>
      </c>
      <c r="I254" s="8">
        <v>474.53</v>
      </c>
      <c r="J254" s="8">
        <v>303.02</v>
      </c>
      <c r="K254" s="7">
        <v>12</v>
      </c>
      <c r="L254" s="7">
        <v>14</v>
      </c>
      <c r="M254" s="7">
        <v>11</v>
      </c>
      <c r="N254" s="7">
        <v>13</v>
      </c>
      <c r="O254" s="7">
        <v>15</v>
      </c>
      <c r="P254" s="7">
        <v>5</v>
      </c>
      <c r="Q254" s="7">
        <v>1</v>
      </c>
      <c r="R254" s="7">
        <v>3</v>
      </c>
      <c r="S254" s="7">
        <v>10</v>
      </c>
    </row>
    <row r="255" spans="1:19">
      <c r="A255" s="6">
        <v>46276</v>
      </c>
      <c r="B255" s="7" t="s">
        <v>25</v>
      </c>
      <c r="C255" s="7" t="s">
        <v>41</v>
      </c>
      <c r="D255" s="7">
        <v>59</v>
      </c>
      <c r="E255" s="7">
        <v>34</v>
      </c>
      <c r="F255" s="7">
        <v>25</v>
      </c>
      <c r="G255" s="7">
        <v>60</v>
      </c>
      <c r="H255" s="8">
        <v>1849.27</v>
      </c>
      <c r="I255" s="8">
        <v>633.84</v>
      </c>
      <c r="J255" s="8">
        <v>402.02</v>
      </c>
      <c r="K255" s="7">
        <v>12</v>
      </c>
      <c r="L255" s="7">
        <v>16</v>
      </c>
      <c r="M255" s="7">
        <v>13</v>
      </c>
      <c r="N255" s="7">
        <v>16</v>
      </c>
      <c r="O255" s="7">
        <v>19</v>
      </c>
      <c r="P255" s="7">
        <v>7</v>
      </c>
      <c r="Q255" s="7">
        <v>1</v>
      </c>
      <c r="R255" s="7">
        <v>4</v>
      </c>
      <c r="S255" s="7">
        <v>8</v>
      </c>
    </row>
    <row r="256" spans="1:19">
      <c r="A256" s="6">
        <v>46277</v>
      </c>
      <c r="B256" s="7" t="s">
        <v>25</v>
      </c>
      <c r="C256" s="7" t="s">
        <v>42</v>
      </c>
      <c r="D256" s="7">
        <v>81</v>
      </c>
      <c r="E256" s="7">
        <v>50</v>
      </c>
      <c r="F256" s="7">
        <v>31</v>
      </c>
      <c r="G256" s="7">
        <v>77</v>
      </c>
      <c r="H256" s="8">
        <v>2503.15</v>
      </c>
      <c r="I256" s="8">
        <v>812.81</v>
      </c>
      <c r="J256" s="8">
        <v>552.9</v>
      </c>
      <c r="K256" s="7">
        <v>24</v>
      </c>
      <c r="L256" s="7">
        <v>23</v>
      </c>
      <c r="M256" s="7">
        <v>18</v>
      </c>
      <c r="N256" s="7">
        <v>20</v>
      </c>
      <c r="O256" s="7">
        <v>32</v>
      </c>
      <c r="P256" s="7">
        <v>7</v>
      </c>
      <c r="Q256" s="7">
        <v>1</v>
      </c>
      <c r="R256" s="7">
        <v>4</v>
      </c>
      <c r="S256" s="7">
        <v>10</v>
      </c>
    </row>
    <row r="257" spans="1:19">
      <c r="A257" s="6">
        <v>46278</v>
      </c>
      <c r="B257" s="7" t="s">
        <v>25</v>
      </c>
      <c r="C257" s="7" t="s">
        <v>43</v>
      </c>
      <c r="D257" s="7">
        <v>53</v>
      </c>
      <c r="E257" s="7">
        <v>33</v>
      </c>
      <c r="F257" s="7">
        <v>20</v>
      </c>
      <c r="G257" s="7">
        <v>53</v>
      </c>
      <c r="H257" s="8">
        <v>1506.43</v>
      </c>
      <c r="I257" s="8">
        <v>499.45</v>
      </c>
      <c r="J257" s="8">
        <v>327.94</v>
      </c>
      <c r="K257" s="7">
        <v>15</v>
      </c>
      <c r="L257" s="7">
        <v>12</v>
      </c>
      <c r="M257" s="7">
        <v>12</v>
      </c>
      <c r="N257" s="7">
        <v>14</v>
      </c>
      <c r="O257" s="7">
        <v>17</v>
      </c>
      <c r="P257" s="7">
        <v>5</v>
      </c>
      <c r="Q257" s="7">
        <v>1</v>
      </c>
      <c r="R257" s="7">
        <v>3</v>
      </c>
      <c r="S257" s="7">
        <v>7</v>
      </c>
    </row>
    <row r="258" spans="1:19">
      <c r="A258" s="6">
        <v>46279</v>
      </c>
      <c r="B258" s="7" t="s">
        <v>25</v>
      </c>
      <c r="C258" s="7" t="s">
        <v>44</v>
      </c>
      <c r="D258" s="7">
        <v>30</v>
      </c>
      <c r="E258" s="7">
        <v>18</v>
      </c>
      <c r="F258" s="7">
        <v>12</v>
      </c>
      <c r="G258" s="7">
        <v>29</v>
      </c>
      <c r="H258" s="8">
        <v>740.34</v>
      </c>
      <c r="I258" s="8">
        <v>242.32</v>
      </c>
      <c r="J258" s="8">
        <v>165.31</v>
      </c>
      <c r="K258" s="7">
        <v>9</v>
      </c>
      <c r="L258" s="7">
        <v>8</v>
      </c>
      <c r="M258" s="7">
        <v>7</v>
      </c>
      <c r="N258" s="7">
        <v>6</v>
      </c>
      <c r="O258" s="7">
        <v>11</v>
      </c>
      <c r="P258" s="7">
        <v>4</v>
      </c>
      <c r="Q258" s="7">
        <v>0</v>
      </c>
      <c r="R258" s="7">
        <v>1</v>
      </c>
      <c r="S258" s="7">
        <v>4</v>
      </c>
    </row>
    <row r="259" spans="1:19">
      <c r="A259" s="6">
        <v>46280</v>
      </c>
      <c r="B259" s="7" t="s">
        <v>25</v>
      </c>
      <c r="C259" s="7" t="s">
        <v>45</v>
      </c>
      <c r="D259" s="7">
        <v>38</v>
      </c>
      <c r="E259" s="7">
        <v>21</v>
      </c>
      <c r="F259" s="7">
        <v>17</v>
      </c>
      <c r="G259" s="7">
        <v>36</v>
      </c>
      <c r="H259" s="8">
        <v>1049.03</v>
      </c>
      <c r="I259" s="8">
        <v>374.6</v>
      </c>
      <c r="J259" s="8">
        <v>274.35000000000002</v>
      </c>
      <c r="K259" s="7">
        <v>8</v>
      </c>
      <c r="L259" s="7">
        <v>10</v>
      </c>
      <c r="M259" s="7">
        <v>7</v>
      </c>
      <c r="N259" s="7">
        <v>9</v>
      </c>
      <c r="O259" s="7">
        <v>10</v>
      </c>
      <c r="P259" s="7">
        <v>2</v>
      </c>
      <c r="Q259" s="7">
        <v>0</v>
      </c>
      <c r="R259" s="7">
        <v>1</v>
      </c>
      <c r="S259" s="7">
        <v>6</v>
      </c>
    </row>
    <row r="260" spans="1:19">
      <c r="A260" s="6">
        <v>46281</v>
      </c>
      <c r="B260" s="7" t="s">
        <v>25</v>
      </c>
      <c r="C260" s="7" t="s">
        <v>46</v>
      </c>
      <c r="D260" s="7">
        <v>38</v>
      </c>
      <c r="E260" s="7">
        <v>21</v>
      </c>
      <c r="F260" s="7">
        <v>17</v>
      </c>
      <c r="G260" s="7">
        <v>39</v>
      </c>
      <c r="H260" s="8">
        <v>1123.57</v>
      </c>
      <c r="I260" s="8">
        <v>384.46</v>
      </c>
      <c r="J260" s="8">
        <v>303.27999999999997</v>
      </c>
      <c r="K260" s="7">
        <v>10</v>
      </c>
      <c r="L260" s="7">
        <v>11</v>
      </c>
      <c r="M260" s="7">
        <v>8</v>
      </c>
      <c r="N260" s="7">
        <v>8</v>
      </c>
      <c r="O260" s="7">
        <v>15</v>
      </c>
      <c r="P260" s="7">
        <v>4</v>
      </c>
      <c r="Q260" s="7">
        <v>0</v>
      </c>
      <c r="R260" s="7">
        <v>2</v>
      </c>
      <c r="S260" s="7">
        <v>6</v>
      </c>
    </row>
    <row r="261" spans="1:19">
      <c r="A261" s="6">
        <v>46282</v>
      </c>
      <c r="B261" s="7" t="s">
        <v>25</v>
      </c>
      <c r="C261" s="7" t="s">
        <v>40</v>
      </c>
      <c r="D261" s="7">
        <v>45</v>
      </c>
      <c r="E261" s="7">
        <v>26</v>
      </c>
      <c r="F261" s="7">
        <v>19</v>
      </c>
      <c r="G261" s="7">
        <v>44</v>
      </c>
      <c r="H261" s="8">
        <v>1296.95</v>
      </c>
      <c r="I261" s="8">
        <v>463.53</v>
      </c>
      <c r="J261" s="8">
        <v>335.12</v>
      </c>
      <c r="K261" s="7">
        <v>13</v>
      </c>
      <c r="L261" s="7">
        <v>10</v>
      </c>
      <c r="M261" s="7">
        <v>10</v>
      </c>
      <c r="N261" s="7">
        <v>10</v>
      </c>
      <c r="O261" s="7">
        <v>13</v>
      </c>
      <c r="P261" s="7">
        <v>6</v>
      </c>
      <c r="Q261" s="7">
        <v>1</v>
      </c>
      <c r="R261" s="7">
        <v>3</v>
      </c>
      <c r="S261" s="7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"/>
  <sheetViews>
    <sheetView workbookViewId="0">
      <selection activeCell="I2" sqref="I2"/>
    </sheetView>
  </sheetViews>
  <sheetFormatPr defaultRowHeight="14"/>
  <cols>
    <col min="1" max="1" width="6.4140625" customWidth="1"/>
    <col min="2" max="2" width="9.1640625" customWidth="1"/>
    <col min="3" max="3" width="7.9140625" customWidth="1"/>
    <col min="4" max="4" width="12.1640625" customWidth="1"/>
    <col min="5" max="5" width="9" customWidth="1"/>
    <col min="6" max="10" width="16.9140625" customWidth="1"/>
    <col min="11" max="11" width="14.5" customWidth="1"/>
    <col min="12" max="12" width="9.25" customWidth="1"/>
    <col min="13" max="13" width="8.9140625" customWidth="1"/>
    <col min="14" max="14" width="11.1640625" customWidth="1"/>
    <col min="15" max="15" width="8.75" customWidth="1"/>
    <col min="16" max="16" width="16.75" customWidth="1"/>
  </cols>
  <sheetData>
    <row r="1" spans="1:26">
      <c r="A1" s="5" t="s">
        <v>13</v>
      </c>
      <c r="B1" s="5" t="s">
        <v>5</v>
      </c>
      <c r="C1" s="5" t="s">
        <v>28</v>
      </c>
      <c r="D1" s="5" t="s">
        <v>29</v>
      </c>
      <c r="E1" s="5" t="s">
        <v>30</v>
      </c>
      <c r="F1" s="5" t="s">
        <v>4</v>
      </c>
      <c r="G1" s="5" t="s">
        <v>31</v>
      </c>
      <c r="H1" s="5" t="s">
        <v>47</v>
      </c>
      <c r="I1" s="5" t="s">
        <v>8</v>
      </c>
      <c r="J1" s="5" t="s">
        <v>6</v>
      </c>
      <c r="K1" s="5" t="s">
        <v>7</v>
      </c>
      <c r="L1" s="5" t="s">
        <v>15</v>
      </c>
      <c r="M1" s="5" t="s">
        <v>48</v>
      </c>
      <c r="N1" s="5" t="s">
        <v>49</v>
      </c>
      <c r="O1" s="5" t="s">
        <v>50</v>
      </c>
      <c r="P1" s="5" t="s">
        <v>39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7" t="s">
        <v>17</v>
      </c>
      <c r="B2" s="7">
        <f>SUMIF(Dados_Diarios!$B$2:$B$261,A2,Dados_Diarios!$D$2:$D$261)</f>
        <v>1854</v>
      </c>
      <c r="C2" s="7">
        <f>SUMIF(Dados_Diarios!$B$2:$B$261,A2,Dados_Diarios!$E$2:$E$261)</f>
        <v>1044</v>
      </c>
      <c r="D2" s="7">
        <f>SUMIF(Dados_Diarios!$B$2:$B$261,A2,Dados_Diarios!$F$2:$F$261)</f>
        <v>810</v>
      </c>
      <c r="E2" s="7">
        <f>SUMIF(Dados_Diarios!$B$2:$B$261,A2,Dados_Diarios!$G$2:$G$261)</f>
        <v>1823</v>
      </c>
      <c r="F2" s="8">
        <f>SUMIF(Dados_Diarios!$B$2:$B$261,A2,Dados_Diarios!$H$2:$H$261)</f>
        <v>52689.979999999996</v>
      </c>
      <c r="G2" s="8">
        <f>SUMIF(Dados_Diarios!$B$2:$B$261,A2,Dados_Diarios!$I$2:$I$261)</f>
        <v>18002.199999999997</v>
      </c>
      <c r="H2" s="8">
        <f>SUMIF(Dados_Diarios!$B$2:$B$261,A2,Dados_Diarios!$J$2:$J$261)</f>
        <v>12855.26</v>
      </c>
      <c r="I2" s="8">
        <f t="shared" ref="I2:I10" si="0">F2-G2-H2</f>
        <v>21832.519999999997</v>
      </c>
      <c r="J2" s="8">
        <f t="shared" ref="J2:J10" si="1">IFERROR(F2/E2,0)</f>
        <v>28.902896324739437</v>
      </c>
      <c r="K2" s="9">
        <f t="shared" ref="K2:K10" si="2">IFERROR(D2/B2,0)</f>
        <v>0.43689320388349512</v>
      </c>
      <c r="L2" s="7">
        <f>SUMIF(Dados_Diarios!$B$2:$B$261,A2,Dados_Diarios!$K$2:$K$261)</f>
        <v>509</v>
      </c>
      <c r="M2" s="7">
        <f>SUMIF(Dados_Diarios!$B$2:$B$261,A2,Dados_Diarios!$P$2:$P$261)</f>
        <v>169</v>
      </c>
      <c r="N2" s="7">
        <f>SUMIF(Dados_Diarios!$B$2:$B$261,A2,Dados_Diarios!$Q$2:$Q$261)</f>
        <v>18</v>
      </c>
      <c r="O2" s="7">
        <f>SUMIF(Dados_Diarios!$B$2:$B$261,A2,Dados_Diarios!$R$2:$R$261)</f>
        <v>94</v>
      </c>
      <c r="P2" s="7">
        <f>SUMIF(Dados_Diarios!$B$2:$B$261,A2,Dados_Diarios!$S$2:$S$261)</f>
        <v>289</v>
      </c>
    </row>
    <row r="3" spans="1:26">
      <c r="A3" s="7" t="s">
        <v>18</v>
      </c>
      <c r="B3" s="7">
        <f>SUMIF(Dados_Diarios!$B$2:$B$261,A3,Dados_Diarios!$D$2:$D$261)</f>
        <v>1654</v>
      </c>
      <c r="C3" s="7">
        <f>SUMIF(Dados_Diarios!$B$2:$B$261,A3,Dados_Diarios!$E$2:$E$261)</f>
        <v>917</v>
      </c>
      <c r="D3" s="7">
        <f>SUMIF(Dados_Diarios!$B$2:$B$261,A3,Dados_Diarios!$F$2:$F$261)</f>
        <v>737</v>
      </c>
      <c r="E3" s="7">
        <f>SUMIF(Dados_Diarios!$B$2:$B$261,A3,Dados_Diarios!$G$2:$G$261)</f>
        <v>1622</v>
      </c>
      <c r="F3" s="8">
        <f>SUMIF(Dados_Diarios!$B$2:$B$261,A3,Dados_Diarios!$H$2:$H$261)</f>
        <v>47546.06</v>
      </c>
      <c r="G3" s="8">
        <f>SUMIF(Dados_Diarios!$B$2:$B$261,A3,Dados_Diarios!$I$2:$I$261)</f>
        <v>16323.339999999997</v>
      </c>
      <c r="H3" s="8">
        <f>SUMIF(Dados_Diarios!$B$2:$B$261,A3,Dados_Diarios!$J$2:$J$261)</f>
        <v>11577.550000000001</v>
      </c>
      <c r="I3" s="8">
        <f t="shared" si="0"/>
        <v>19645.169999999998</v>
      </c>
      <c r="J3" s="8">
        <f t="shared" si="1"/>
        <v>29.313230579531442</v>
      </c>
      <c r="K3" s="9">
        <f t="shared" si="2"/>
        <v>0.4455864570737606</v>
      </c>
      <c r="L3" s="7">
        <f>SUMIF(Dados_Diarios!$B$2:$B$261,A3,Dados_Diarios!$K$2:$K$261)</f>
        <v>410</v>
      </c>
      <c r="M3" s="7">
        <f>SUMIF(Dados_Diarios!$B$2:$B$261,A3,Dados_Diarios!$P$2:$P$261)</f>
        <v>158</v>
      </c>
      <c r="N3" s="7">
        <f>SUMIF(Dados_Diarios!$B$2:$B$261,A3,Dados_Diarios!$Q$2:$Q$261)</f>
        <v>18</v>
      </c>
      <c r="O3" s="7">
        <f>SUMIF(Dados_Diarios!$B$2:$B$261,A3,Dados_Diarios!$R$2:$R$261)</f>
        <v>83</v>
      </c>
      <c r="P3" s="7">
        <f>SUMIF(Dados_Diarios!$B$2:$B$261,A3,Dados_Diarios!$S$2:$S$261)</f>
        <v>262</v>
      </c>
    </row>
    <row r="4" spans="1:26">
      <c r="A4" s="7" t="s">
        <v>19</v>
      </c>
      <c r="B4" s="7">
        <f>SUMIF(Dados_Diarios!$B$2:$B$261,A4,Dados_Diarios!$D$2:$D$261)</f>
        <v>1704</v>
      </c>
      <c r="C4" s="7">
        <f>SUMIF(Dados_Diarios!$B$2:$B$261,A4,Dados_Diarios!$E$2:$E$261)</f>
        <v>944</v>
      </c>
      <c r="D4" s="7">
        <f>SUMIF(Dados_Diarios!$B$2:$B$261,A4,Dados_Diarios!$F$2:$F$261)</f>
        <v>760</v>
      </c>
      <c r="E4" s="7">
        <f>SUMIF(Dados_Diarios!$B$2:$B$261,A4,Dados_Diarios!$G$2:$G$261)</f>
        <v>1678</v>
      </c>
      <c r="F4" s="8">
        <f>SUMIF(Dados_Diarios!$B$2:$B$261,A4,Dados_Diarios!$H$2:$H$261)</f>
        <v>48871.960000000021</v>
      </c>
      <c r="G4" s="8">
        <f>SUMIF(Dados_Diarios!$B$2:$B$261,A4,Dados_Diarios!$I$2:$I$261)</f>
        <v>16570.839999999997</v>
      </c>
      <c r="H4" s="8">
        <f>SUMIF(Dados_Diarios!$B$2:$B$261,A4,Dados_Diarios!$J$2:$J$261)</f>
        <v>11594.119999999999</v>
      </c>
      <c r="I4" s="8">
        <f t="shared" si="0"/>
        <v>20707.000000000025</v>
      </c>
      <c r="J4" s="8">
        <f t="shared" si="1"/>
        <v>29.125125148986903</v>
      </c>
      <c r="K4" s="9">
        <f t="shared" si="2"/>
        <v>0.4460093896713615</v>
      </c>
      <c r="L4" s="7">
        <f>SUMIF(Dados_Diarios!$B$2:$B$261,A4,Dados_Diarios!$K$2:$K$261)</f>
        <v>453</v>
      </c>
      <c r="M4" s="7">
        <f>SUMIF(Dados_Diarios!$B$2:$B$261,A4,Dados_Diarios!$P$2:$P$261)</f>
        <v>171</v>
      </c>
      <c r="N4" s="7">
        <f>SUMIF(Dados_Diarios!$B$2:$B$261,A4,Dados_Diarios!$Q$2:$Q$261)</f>
        <v>17</v>
      </c>
      <c r="O4" s="7">
        <f>SUMIF(Dados_Diarios!$B$2:$B$261,A4,Dados_Diarios!$R$2:$R$261)</f>
        <v>95</v>
      </c>
      <c r="P4" s="7">
        <f>SUMIF(Dados_Diarios!$B$2:$B$261,A4,Dados_Diarios!$S$2:$S$261)</f>
        <v>260</v>
      </c>
    </row>
    <row r="5" spans="1:26">
      <c r="A5" s="7" t="s">
        <v>20</v>
      </c>
      <c r="B5" s="7">
        <f>SUMIF(Dados_Diarios!$B$2:$B$261,A5,Dados_Diarios!$D$2:$D$261)</f>
        <v>1580</v>
      </c>
      <c r="C5" s="7">
        <f>SUMIF(Dados_Diarios!$B$2:$B$261,A5,Dados_Diarios!$E$2:$E$261)</f>
        <v>883</v>
      </c>
      <c r="D5" s="7">
        <f>SUMIF(Dados_Diarios!$B$2:$B$261,A5,Dados_Diarios!$F$2:$F$261)</f>
        <v>697</v>
      </c>
      <c r="E5" s="7">
        <f>SUMIF(Dados_Diarios!$B$2:$B$261,A5,Dados_Diarios!$G$2:$G$261)</f>
        <v>1561</v>
      </c>
      <c r="F5" s="8">
        <f>SUMIF(Dados_Diarios!$B$2:$B$261,A5,Dados_Diarios!$H$2:$H$261)</f>
        <v>45522.269999999982</v>
      </c>
      <c r="G5" s="8">
        <f>SUMIF(Dados_Diarios!$B$2:$B$261,A5,Dados_Diarios!$I$2:$I$261)</f>
        <v>15288.05</v>
      </c>
      <c r="H5" s="8">
        <f>SUMIF(Dados_Diarios!$B$2:$B$261,A5,Dados_Diarios!$J$2:$J$261)</f>
        <v>11001.039999999999</v>
      </c>
      <c r="I5" s="8">
        <f t="shared" si="0"/>
        <v>19233.179999999986</v>
      </c>
      <c r="J5" s="8">
        <f t="shared" si="1"/>
        <v>29.162248558616259</v>
      </c>
      <c r="K5" s="9">
        <f t="shared" si="2"/>
        <v>0.44113924050632913</v>
      </c>
      <c r="L5" s="7">
        <f>SUMIF(Dados_Diarios!$B$2:$B$261,A5,Dados_Diarios!$K$2:$K$261)</f>
        <v>413</v>
      </c>
      <c r="M5" s="7">
        <f>SUMIF(Dados_Diarios!$B$2:$B$261,A5,Dados_Diarios!$P$2:$P$261)</f>
        <v>149</v>
      </c>
      <c r="N5" s="7">
        <f>SUMIF(Dados_Diarios!$B$2:$B$261,A5,Dados_Diarios!$Q$2:$Q$261)</f>
        <v>15</v>
      </c>
      <c r="O5" s="7">
        <f>SUMIF(Dados_Diarios!$B$2:$B$261,A5,Dados_Diarios!$R$2:$R$261)</f>
        <v>86</v>
      </c>
      <c r="P5" s="7">
        <f>SUMIF(Dados_Diarios!$B$2:$B$261,A5,Dados_Diarios!$S$2:$S$261)</f>
        <v>237</v>
      </c>
    </row>
    <row r="6" spans="1:26">
      <c r="A6" s="7" t="s">
        <v>21</v>
      </c>
      <c r="B6" s="7">
        <f>SUMIF(Dados_Diarios!$B$2:$B$261,A6,Dados_Diarios!$D$2:$D$261)</f>
        <v>1668</v>
      </c>
      <c r="C6" s="7">
        <f>SUMIF(Dados_Diarios!$B$2:$B$261,A6,Dados_Diarios!$E$2:$E$261)</f>
        <v>944</v>
      </c>
      <c r="D6" s="7">
        <f>SUMIF(Dados_Diarios!$B$2:$B$261,A6,Dados_Diarios!$F$2:$F$261)</f>
        <v>724</v>
      </c>
      <c r="E6" s="7">
        <f>SUMIF(Dados_Diarios!$B$2:$B$261,A6,Dados_Diarios!$G$2:$G$261)</f>
        <v>1638</v>
      </c>
      <c r="F6" s="8">
        <f>SUMIF(Dados_Diarios!$B$2:$B$261,A6,Dados_Diarios!$H$2:$H$261)</f>
        <v>47730.739999999991</v>
      </c>
      <c r="G6" s="8">
        <f>SUMIF(Dados_Diarios!$B$2:$B$261,A6,Dados_Diarios!$I$2:$I$261)</f>
        <v>16074.130000000001</v>
      </c>
      <c r="H6" s="8">
        <f>SUMIF(Dados_Diarios!$B$2:$B$261,A6,Dados_Diarios!$J$2:$J$261)</f>
        <v>11299.56</v>
      </c>
      <c r="I6" s="8">
        <f t="shared" si="0"/>
        <v>20357.049999999988</v>
      </c>
      <c r="J6" s="8">
        <f t="shared" si="1"/>
        <v>29.139645909645903</v>
      </c>
      <c r="K6" s="9">
        <f t="shared" si="2"/>
        <v>0.43405275779376501</v>
      </c>
      <c r="L6" s="7">
        <f>SUMIF(Dados_Diarios!$B$2:$B$261,A6,Dados_Diarios!$K$2:$K$261)</f>
        <v>444</v>
      </c>
      <c r="M6" s="7">
        <f>SUMIF(Dados_Diarios!$B$2:$B$261,A6,Dados_Diarios!$P$2:$P$261)</f>
        <v>158</v>
      </c>
      <c r="N6" s="7">
        <f>SUMIF(Dados_Diarios!$B$2:$B$261,A6,Dados_Diarios!$Q$2:$Q$261)</f>
        <v>21</v>
      </c>
      <c r="O6" s="7">
        <f>SUMIF(Dados_Diarios!$B$2:$B$261,A6,Dados_Diarios!$R$2:$R$261)</f>
        <v>84</v>
      </c>
      <c r="P6" s="7">
        <f>SUMIF(Dados_Diarios!$B$2:$B$261,A6,Dados_Diarios!$S$2:$S$261)</f>
        <v>254</v>
      </c>
    </row>
    <row r="7" spans="1:26">
      <c r="A7" s="7" t="s">
        <v>22</v>
      </c>
      <c r="B7" s="7">
        <f>SUMIF(Dados_Diarios!$B$2:$B$261,A7,Dados_Diarios!$D$2:$D$261)</f>
        <v>1703</v>
      </c>
      <c r="C7" s="7">
        <f>SUMIF(Dados_Diarios!$B$2:$B$261,A7,Dados_Diarios!$E$2:$E$261)</f>
        <v>945</v>
      </c>
      <c r="D7" s="7">
        <f>SUMIF(Dados_Diarios!$B$2:$B$261,A7,Dados_Diarios!$F$2:$F$261)</f>
        <v>758</v>
      </c>
      <c r="E7" s="7">
        <f>SUMIF(Dados_Diarios!$B$2:$B$261,A7,Dados_Diarios!$G$2:$G$261)</f>
        <v>1653</v>
      </c>
      <c r="F7" s="8">
        <f>SUMIF(Dados_Diarios!$B$2:$B$261,A7,Dados_Diarios!$H$2:$H$261)</f>
        <v>49042.79</v>
      </c>
      <c r="G7" s="8">
        <f>SUMIF(Dados_Diarios!$B$2:$B$261,A7,Dados_Diarios!$I$2:$I$261)</f>
        <v>16649.879999999997</v>
      </c>
      <c r="H7" s="8">
        <f>SUMIF(Dados_Diarios!$B$2:$B$261,A7,Dados_Diarios!$J$2:$J$261)</f>
        <v>11665.07</v>
      </c>
      <c r="I7" s="8">
        <f t="shared" si="0"/>
        <v>20727.840000000004</v>
      </c>
      <c r="J7" s="8">
        <f t="shared" si="1"/>
        <v>29.668959467634604</v>
      </c>
      <c r="K7" s="9">
        <f t="shared" si="2"/>
        <v>0.44509688784497947</v>
      </c>
      <c r="L7" s="7">
        <f>SUMIF(Dados_Diarios!$B$2:$B$261,A7,Dados_Diarios!$K$2:$K$261)</f>
        <v>446</v>
      </c>
      <c r="M7" s="7">
        <f>SUMIF(Dados_Diarios!$B$2:$B$261,A7,Dados_Diarios!$P$2:$P$261)</f>
        <v>161</v>
      </c>
      <c r="N7" s="7">
        <f>SUMIF(Dados_Diarios!$B$2:$B$261,A7,Dados_Diarios!$Q$2:$Q$261)</f>
        <v>20</v>
      </c>
      <c r="O7" s="7">
        <f>SUMIF(Dados_Diarios!$B$2:$B$261,A7,Dados_Diarios!$R$2:$R$261)</f>
        <v>77</v>
      </c>
      <c r="P7" s="7">
        <f>SUMIF(Dados_Diarios!$B$2:$B$261,A7,Dados_Diarios!$S$2:$S$261)</f>
        <v>267</v>
      </c>
    </row>
    <row r="8" spans="1:26">
      <c r="A8" s="7" t="s">
        <v>23</v>
      </c>
      <c r="B8" s="7">
        <f>SUMIF(Dados_Diarios!$B$2:$B$261,A8,Dados_Diarios!$D$2:$D$261)</f>
        <v>1876</v>
      </c>
      <c r="C8" s="7">
        <f>SUMIF(Dados_Diarios!$B$2:$B$261,A8,Dados_Diarios!$E$2:$E$261)</f>
        <v>1070</v>
      </c>
      <c r="D8" s="7">
        <f>SUMIF(Dados_Diarios!$B$2:$B$261,A8,Dados_Diarios!$F$2:$F$261)</f>
        <v>806</v>
      </c>
      <c r="E8" s="7">
        <f>SUMIF(Dados_Diarios!$B$2:$B$261,A8,Dados_Diarios!$G$2:$G$261)</f>
        <v>1823</v>
      </c>
      <c r="F8" s="8">
        <f>SUMIF(Dados_Diarios!$B$2:$B$261,A8,Dados_Diarios!$H$2:$H$261)</f>
        <v>52913.599999999991</v>
      </c>
      <c r="G8" s="8">
        <f>SUMIF(Dados_Diarios!$B$2:$B$261,A8,Dados_Diarios!$I$2:$I$261)</f>
        <v>17987.960000000003</v>
      </c>
      <c r="H8" s="8">
        <f>SUMIF(Dados_Diarios!$B$2:$B$261,A8,Dados_Diarios!$J$2:$J$261)</f>
        <v>12680.730000000001</v>
      </c>
      <c r="I8" s="8">
        <f t="shared" si="0"/>
        <v>22244.909999999982</v>
      </c>
      <c r="J8" s="8">
        <f t="shared" si="1"/>
        <v>29.025562260010965</v>
      </c>
      <c r="K8" s="9">
        <f t="shared" si="2"/>
        <v>0.42963752665245203</v>
      </c>
      <c r="L8" s="7">
        <f>SUMIF(Dados_Diarios!$B$2:$B$261,A8,Dados_Diarios!$K$2:$K$261)</f>
        <v>503</v>
      </c>
      <c r="M8" s="7">
        <f>SUMIF(Dados_Diarios!$B$2:$B$261,A8,Dados_Diarios!$P$2:$P$261)</f>
        <v>198</v>
      </c>
      <c r="N8" s="7">
        <f>SUMIF(Dados_Diarios!$B$2:$B$261,A8,Dados_Diarios!$Q$2:$Q$261)</f>
        <v>21</v>
      </c>
      <c r="O8" s="7">
        <f>SUMIF(Dados_Diarios!$B$2:$B$261,A8,Dados_Diarios!$R$2:$R$261)</f>
        <v>89</v>
      </c>
      <c r="P8" s="7">
        <f>SUMIF(Dados_Diarios!$B$2:$B$261,A8,Dados_Diarios!$S$2:$S$261)</f>
        <v>290</v>
      </c>
    </row>
    <row r="9" spans="1:26">
      <c r="A9" s="7" t="s">
        <v>24</v>
      </c>
      <c r="B9" s="7">
        <f>SUMIF(Dados_Diarios!$B$2:$B$261,A9,Dados_Diarios!$D$2:$D$261)</f>
        <v>1757</v>
      </c>
      <c r="C9" s="7">
        <f>SUMIF(Dados_Diarios!$B$2:$B$261,A9,Dados_Diarios!$E$2:$E$261)</f>
        <v>1012</v>
      </c>
      <c r="D9" s="7">
        <f>SUMIF(Dados_Diarios!$B$2:$B$261,A9,Dados_Diarios!$F$2:$F$261)</f>
        <v>745</v>
      </c>
      <c r="E9" s="7">
        <f>SUMIF(Dados_Diarios!$B$2:$B$261,A9,Dados_Diarios!$G$2:$G$261)</f>
        <v>1711</v>
      </c>
      <c r="F9" s="8">
        <f>SUMIF(Dados_Diarios!$B$2:$B$261,A9,Dados_Diarios!$H$2:$H$261)</f>
        <v>50519.69999999999</v>
      </c>
      <c r="G9" s="8">
        <f>SUMIF(Dados_Diarios!$B$2:$B$261,A9,Dados_Diarios!$I$2:$I$261)</f>
        <v>17327.089999999997</v>
      </c>
      <c r="H9" s="8">
        <f>SUMIF(Dados_Diarios!$B$2:$B$261,A9,Dados_Diarios!$J$2:$J$261)</f>
        <v>12215.450000000003</v>
      </c>
      <c r="I9" s="8">
        <f t="shared" si="0"/>
        <v>20977.159999999989</v>
      </c>
      <c r="J9" s="8">
        <f t="shared" si="1"/>
        <v>29.526417299824658</v>
      </c>
      <c r="K9" s="9">
        <f t="shared" si="2"/>
        <v>0.42401821286283436</v>
      </c>
      <c r="L9" s="7">
        <f>SUMIF(Dados_Diarios!$B$2:$B$261,A9,Dados_Diarios!$K$2:$K$261)</f>
        <v>474</v>
      </c>
      <c r="M9" s="7">
        <f>SUMIF(Dados_Diarios!$B$2:$B$261,A9,Dados_Diarios!$P$2:$P$261)</f>
        <v>176</v>
      </c>
      <c r="N9" s="7">
        <f>SUMIF(Dados_Diarios!$B$2:$B$261,A9,Dados_Diarios!$Q$2:$Q$261)</f>
        <v>22</v>
      </c>
      <c r="O9" s="7">
        <f>SUMIF(Dados_Diarios!$B$2:$B$261,A9,Dados_Diarios!$R$2:$R$261)</f>
        <v>81</v>
      </c>
      <c r="P9" s="7">
        <f>SUMIF(Dados_Diarios!$B$2:$B$261,A9,Dados_Diarios!$S$2:$S$261)</f>
        <v>293</v>
      </c>
    </row>
    <row r="10" spans="1:26">
      <c r="A10" s="7" t="s">
        <v>25</v>
      </c>
      <c r="B10" s="7">
        <f>SUMIF(Dados_Diarios!$B$2:$B$261,A10,Dados_Diarios!$D$2:$D$261)</f>
        <v>836</v>
      </c>
      <c r="C10" s="7">
        <f>SUMIF(Dados_Diarios!$B$2:$B$261,A10,Dados_Diarios!$E$2:$E$261)</f>
        <v>481</v>
      </c>
      <c r="D10" s="7">
        <f>SUMIF(Dados_Diarios!$B$2:$B$261,A10,Dados_Diarios!$F$2:$F$261)</f>
        <v>355</v>
      </c>
      <c r="E10" s="7">
        <f>SUMIF(Dados_Diarios!$B$2:$B$261,A10,Dados_Diarios!$G$2:$G$261)</f>
        <v>824</v>
      </c>
      <c r="F10" s="8">
        <f>SUMIF(Dados_Diarios!$B$2:$B$261,A10,Dados_Diarios!$H$2:$H$261)</f>
        <v>24223.59</v>
      </c>
      <c r="G10" s="8">
        <f>SUMIF(Dados_Diarios!$B$2:$B$261,A10,Dados_Diarios!$I$2:$I$261)</f>
        <v>8258.69</v>
      </c>
      <c r="H10" s="8">
        <f>SUMIF(Dados_Diarios!$B$2:$B$261,A10,Dados_Diarios!$J$2:$J$261)</f>
        <v>5724.8099999999995</v>
      </c>
      <c r="I10" s="8">
        <f t="shared" si="0"/>
        <v>10240.09</v>
      </c>
      <c r="J10" s="8">
        <f t="shared" si="1"/>
        <v>29.397560679611651</v>
      </c>
      <c r="K10" s="9">
        <f t="shared" si="2"/>
        <v>0.42464114832535887</v>
      </c>
      <c r="L10" s="7">
        <f>SUMIF(Dados_Diarios!$B$2:$B$261,A10,Dados_Diarios!$K$2:$K$261)</f>
        <v>230</v>
      </c>
      <c r="M10" s="7">
        <f>SUMIF(Dados_Diarios!$B$2:$B$261,A10,Dados_Diarios!$P$2:$P$261)</f>
        <v>78</v>
      </c>
      <c r="N10" s="7">
        <f>SUMIF(Dados_Diarios!$B$2:$B$261,A10,Dados_Diarios!$Q$2:$Q$261)</f>
        <v>8</v>
      </c>
      <c r="O10" s="7">
        <f>SUMIF(Dados_Diarios!$B$2:$B$261,A10,Dados_Diarios!$R$2:$R$261)</f>
        <v>45</v>
      </c>
      <c r="P10" s="7">
        <f>SUMIF(Dados_Diarios!$B$2:$B$261,A10,Dados_Diarios!$S$2:$S$261)</f>
        <v>138</v>
      </c>
    </row>
  </sheetData>
  <conditionalFormatting sqref="I2:I10">
    <cfRule type="dataBar" priority="1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{BEA0ED57-C63B-9F7B-DE5D-D61785361245}</x14:id>
        </ext>
      </extLst>
    </cfRule>
  </conditionalFormatting>
  <conditionalFormatting sqref="K2:K10">
    <cfRule type="colorScale" priority="2">
      <colorScale>
        <cfvo type="min"/>
        <cfvo type="percentile" val="50"/>
        <cfvo type="max"/>
        <color rgb="FFF7C8C4"/>
        <color rgb="FFF4E5C5"/>
        <color rgb="FFCFE3C4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A0ED57-C63B-9F7B-DE5D-D61785361245}">
            <x14:dataBar>
              <x14:cfvo type="min"/>
              <x14:cfvo type="max"/>
              <x14:negativeFillColor auto="1"/>
              <x14:axisColor auto="1"/>
            </x14:dataBar>
          </x14:cfRule>
          <xm:sqref>I2:I10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"/>
  <sheetViews>
    <sheetView workbookViewId="0"/>
  </sheetViews>
  <sheetFormatPr defaultRowHeight="14"/>
  <cols>
    <col min="1" max="1" width="15.25" customWidth="1"/>
    <col min="2" max="2" width="5.5" customWidth="1"/>
    <col min="3" max="3" width="10.1640625" customWidth="1"/>
    <col min="4" max="4" width="12.25" customWidth="1"/>
    <col min="5" max="5" width="14.1640625" customWidth="1"/>
    <col min="6" max="6" width="13.5" customWidth="1"/>
    <col min="7" max="7" width="7" customWidth="1"/>
  </cols>
  <sheetData>
    <row r="1" spans="1:26" ht="28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8">
      <c r="A2" s="7" t="s">
        <v>58</v>
      </c>
      <c r="B2" s="7" t="s">
        <v>59</v>
      </c>
      <c r="C2" s="7" t="s">
        <v>60</v>
      </c>
      <c r="D2" s="8">
        <v>120</v>
      </c>
      <c r="E2" s="8">
        <v>380</v>
      </c>
      <c r="F2" s="8">
        <v>9800</v>
      </c>
      <c r="G2" s="9">
        <f t="shared" ref="G2:G7" si="0">IFERROR((F2-D2)/D2,0)</f>
        <v>80.666666666666671</v>
      </c>
    </row>
    <row r="3" spans="1:26" ht="28">
      <c r="A3" s="7" t="s">
        <v>61</v>
      </c>
      <c r="B3" s="7" t="s">
        <v>59</v>
      </c>
      <c r="C3" s="7" t="s">
        <v>16</v>
      </c>
      <c r="D3" s="8">
        <v>180</v>
      </c>
      <c r="E3" s="8">
        <v>245</v>
      </c>
      <c r="F3" s="8">
        <v>7100</v>
      </c>
      <c r="G3" s="9">
        <f t="shared" si="0"/>
        <v>38.444444444444443</v>
      </c>
    </row>
    <row r="4" spans="1:26" ht="28">
      <c r="A4" s="7" t="s">
        <v>62</v>
      </c>
      <c r="B4" s="7" t="s">
        <v>59</v>
      </c>
      <c r="C4" s="7" t="s">
        <v>63</v>
      </c>
      <c r="D4" s="8">
        <v>140</v>
      </c>
      <c r="E4" s="8">
        <v>162</v>
      </c>
      <c r="F4" s="8">
        <v>4650</v>
      </c>
      <c r="G4" s="9">
        <f t="shared" si="0"/>
        <v>32.214285714285715</v>
      </c>
    </row>
    <row r="5" spans="1:26" ht="28">
      <c r="A5" s="7" t="s">
        <v>64</v>
      </c>
      <c r="B5" s="7" t="s">
        <v>59</v>
      </c>
      <c r="C5" s="7" t="s">
        <v>65</v>
      </c>
      <c r="D5" s="8">
        <v>250</v>
      </c>
      <c r="E5" s="8">
        <v>118</v>
      </c>
      <c r="F5" s="8">
        <v>5100</v>
      </c>
      <c r="G5" s="9">
        <f t="shared" si="0"/>
        <v>19.399999999999999</v>
      </c>
    </row>
    <row r="6" spans="1:26" ht="28">
      <c r="A6" s="7" t="s">
        <v>66</v>
      </c>
      <c r="B6" s="7" t="s">
        <v>67</v>
      </c>
      <c r="C6" s="7" t="s">
        <v>68</v>
      </c>
      <c r="D6" s="8">
        <v>90</v>
      </c>
      <c r="E6" s="8">
        <v>420</v>
      </c>
      <c r="F6" s="8">
        <v>8900</v>
      </c>
      <c r="G6" s="9">
        <f t="shared" si="0"/>
        <v>97.888888888888886</v>
      </c>
    </row>
    <row r="7" spans="1:26" ht="28">
      <c r="A7" s="7" t="s">
        <v>69</v>
      </c>
      <c r="B7" s="7" t="s">
        <v>70</v>
      </c>
      <c r="C7" s="7" t="s">
        <v>71</v>
      </c>
      <c r="D7" s="8">
        <v>350</v>
      </c>
      <c r="E7" s="8">
        <v>205</v>
      </c>
      <c r="F7" s="8">
        <v>5700</v>
      </c>
      <c r="G7" s="9">
        <f t="shared" si="0"/>
        <v>15.285714285714286</v>
      </c>
    </row>
  </sheetData>
  <conditionalFormatting sqref="G2:G7">
    <cfRule type="dataBar" priority="1">
      <dataBar>
        <cfvo type="min"/>
        <cfvo type="max"/>
        <color rgb="FF0F9ED5"/>
      </dataBar>
    </cfRule>
    <cfRule type="dataBar" priority="2">
      <dataBar>
        <cfvo type="min"/>
        <cfvo type="max"/>
        <color rgb="FF0F9ED5"/>
      </dataBar>
      <extLst>
        <ext xmlns:x14="http://schemas.microsoft.com/office/spreadsheetml/2009/9/main" uri="{B025F937-C7B1-47D3-B67F-A62EFF666E3E}">
          <x14:id>{428A2A21-EE71-C7CA-AE19-5A6F77CDE15E}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8A2A21-EE71-C7CA-AE19-5A6F77CDE15E}">
            <x14:dataBar>
              <x14:cfvo type="min"/>
              <x14:cfvo type="max"/>
              <x14:negativeFillColor auto="1"/>
              <x14:axisColor auto="1"/>
            </x14:dataBar>
          </x14:cfRule>
          <xm:sqref>G2:G7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"/>
  <sheetViews>
    <sheetView tabSelected="1" workbookViewId="0">
      <selection activeCell="F4" sqref="F4"/>
    </sheetView>
  </sheetViews>
  <sheetFormatPr defaultRowHeight="14"/>
  <cols>
    <col min="1" max="1" width="7" customWidth="1"/>
    <col min="2" max="2" width="7.75" customWidth="1"/>
    <col min="3" max="3" width="10.1640625" customWidth="1"/>
    <col min="4" max="4" width="12.58203125" bestFit="1" customWidth="1"/>
    <col min="5" max="5" width="9.9140625" customWidth="1"/>
    <col min="6" max="6" width="14.4140625" customWidth="1"/>
    <col min="7" max="7" width="27.75" customWidth="1"/>
  </cols>
  <sheetData>
    <row r="1" spans="1:26" ht="28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8">
      <c r="A2" s="7" t="s">
        <v>33</v>
      </c>
      <c r="B2" s="7">
        <f>SUM(Dados_Diarios!$L$2:$L$261)</f>
        <v>3803</v>
      </c>
      <c r="C2" s="8">
        <v>30</v>
      </c>
      <c r="D2" s="8">
        <f>B2*C2</f>
        <v>114090</v>
      </c>
      <c r="E2" s="9">
        <f>IFERROR(D2/SUM($D$2:$D$6),0)</f>
        <v>0.24202992015070388</v>
      </c>
      <c r="F2" s="9">
        <v>0.6</v>
      </c>
      <c r="G2" s="7" t="s">
        <v>79</v>
      </c>
    </row>
    <row r="3" spans="1:26" ht="28">
      <c r="A3" s="7" t="s">
        <v>34</v>
      </c>
      <c r="B3" s="7">
        <f>SUM(Dados_Diarios!$M$2:$M$261)</f>
        <v>3100</v>
      </c>
      <c r="C3" s="8">
        <v>25</v>
      </c>
      <c r="D3" s="8">
        <f>B3*C3</f>
        <v>77500</v>
      </c>
      <c r="E3" s="9">
        <f>IFERROR(D3/SUM($D$2:$D$6),0)</f>
        <v>0.164408088453673</v>
      </c>
      <c r="F3" s="9">
        <v>0.62</v>
      </c>
      <c r="G3" s="7" t="s">
        <v>80</v>
      </c>
    </row>
    <row r="4" spans="1:26" ht="28">
      <c r="A4" s="7" t="s">
        <v>35</v>
      </c>
      <c r="B4" s="7">
        <f>SUM(Dados_Diarios!$N$2:$N$261)</f>
        <v>3330</v>
      </c>
      <c r="C4" s="8">
        <v>22</v>
      </c>
      <c r="D4" s="8">
        <f>B4*C4</f>
        <v>73260</v>
      </c>
      <c r="E4" s="9">
        <f>IFERROR(D4/SUM($D$2:$D$6),0)</f>
        <v>0.15541337496923976</v>
      </c>
      <c r="F4" s="9">
        <v>0.64</v>
      </c>
      <c r="G4" s="7" t="s">
        <v>81</v>
      </c>
    </row>
    <row r="5" spans="1:26">
      <c r="A5" s="7" t="s">
        <v>36</v>
      </c>
      <c r="B5" s="7">
        <f>SUM(Dados_Diarios!$O$2:$O$261)</f>
        <v>4970</v>
      </c>
      <c r="C5" s="8">
        <v>15</v>
      </c>
      <c r="D5" s="8">
        <f>B5*C5</f>
        <v>74550</v>
      </c>
      <c r="E5" s="9">
        <f>IFERROR(D5/SUM($D$2:$D$6),0)</f>
        <v>0.15814997411898479</v>
      </c>
      <c r="F5" s="9">
        <v>0.68</v>
      </c>
      <c r="G5" s="7" t="s">
        <v>82</v>
      </c>
    </row>
    <row r="6" spans="1:26" ht="28">
      <c r="A6" s="7" t="s">
        <v>15</v>
      </c>
      <c r="B6" s="7">
        <f>SUM(Dados_Diarios!$K$2:$K$261)</f>
        <v>3882</v>
      </c>
      <c r="C6" s="8">
        <v>34</v>
      </c>
      <c r="D6" s="8">
        <f>B6*C6</f>
        <v>131988</v>
      </c>
      <c r="E6" s="9">
        <f>IFERROR(D6/SUM($D$2:$D$6),0)</f>
        <v>0.27999864230739857</v>
      </c>
      <c r="F6" s="9">
        <v>0.57999999999999996</v>
      </c>
      <c r="G6" s="7" t="s">
        <v>83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2"/>
  <sheetViews>
    <sheetView workbookViewId="0"/>
  </sheetViews>
  <sheetFormatPr defaultRowHeight="14"/>
  <cols>
    <col min="1" max="1" width="25.75" customWidth="1"/>
    <col min="2" max="2" width="5.25" customWidth="1"/>
    <col min="4" max="4" width="5.5" customWidth="1"/>
  </cols>
  <sheetData>
    <row r="1" spans="1:26" ht="28">
      <c r="A1" s="5" t="s">
        <v>84</v>
      </c>
      <c r="B1" s="5" t="s">
        <v>85</v>
      </c>
      <c r="C1" s="5"/>
      <c r="D1" s="5" t="s">
        <v>86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8">
      <c r="A2" s="7" t="s">
        <v>87</v>
      </c>
      <c r="B2" s="7">
        <v>0.34</v>
      </c>
      <c r="C2" s="7"/>
      <c r="D2" s="7" t="s">
        <v>3</v>
      </c>
    </row>
    <row r="3" spans="1:26">
      <c r="A3" s="7" t="s">
        <v>88</v>
      </c>
      <c r="B3" s="7">
        <v>0.24</v>
      </c>
      <c r="C3" s="7"/>
      <c r="D3" s="7" t="s">
        <v>17</v>
      </c>
    </row>
    <row r="4" spans="1:26">
      <c r="A4" s="7" t="s">
        <v>89</v>
      </c>
      <c r="B4" s="7">
        <v>28</v>
      </c>
      <c r="C4" s="7"/>
      <c r="D4" s="7" t="s">
        <v>18</v>
      </c>
    </row>
    <row r="5" spans="1:26">
      <c r="A5" s="7" t="s">
        <v>90</v>
      </c>
      <c r="B5" s="7">
        <v>0.42</v>
      </c>
      <c r="C5" s="7"/>
      <c r="D5" s="7" t="s">
        <v>19</v>
      </c>
    </row>
    <row r="6" spans="1:26">
      <c r="A6" s="7" t="s">
        <v>91</v>
      </c>
      <c r="B6" s="7">
        <v>0.12</v>
      </c>
      <c r="C6" s="7"/>
      <c r="D6" s="7" t="s">
        <v>20</v>
      </c>
    </row>
    <row r="7" spans="1:26">
      <c r="A7" s="7" t="s">
        <v>92</v>
      </c>
      <c r="B7" s="7">
        <v>0.08</v>
      </c>
      <c r="C7" s="7"/>
      <c r="D7" s="7" t="s">
        <v>21</v>
      </c>
    </row>
    <row r="8" spans="1:26">
      <c r="A8" s="7" t="s">
        <v>93</v>
      </c>
      <c r="B8" s="7">
        <v>42000</v>
      </c>
      <c r="C8" s="7"/>
      <c r="D8" s="7" t="s">
        <v>22</v>
      </c>
    </row>
    <row r="9" spans="1:26">
      <c r="A9" s="7" t="s">
        <v>94</v>
      </c>
      <c r="B9" s="7">
        <v>1350</v>
      </c>
      <c r="C9" s="7"/>
      <c r="D9" s="7" t="s">
        <v>23</v>
      </c>
    </row>
    <row r="10" spans="1:26">
      <c r="A10" s="7" t="s">
        <v>95</v>
      </c>
      <c r="B10" s="7">
        <v>350</v>
      </c>
      <c r="C10" s="7"/>
      <c r="D10" s="7" t="s">
        <v>24</v>
      </c>
    </row>
    <row r="11" spans="1:26">
      <c r="A11" s="7" t="s">
        <v>96</v>
      </c>
      <c r="B11" s="7">
        <v>120</v>
      </c>
      <c r="C11" s="7"/>
      <c r="D11" s="7" t="s">
        <v>25</v>
      </c>
    </row>
    <row r="12" spans="1:26" ht="28">
      <c r="A12" s="7" t="s">
        <v>97</v>
      </c>
      <c r="B12" s="7">
        <v>250</v>
      </c>
      <c r="C12" s="7"/>
      <c r="D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</vt:lpstr>
      <vt:lpstr>Dados_Diarios</vt:lpstr>
      <vt:lpstr>Resumo_Mensal</vt:lpstr>
      <vt:lpstr>Promocoes</vt:lpstr>
      <vt:lpstr>Produtos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PEREIRA</cp:lastModifiedBy>
  <dcterms:modified xsi:type="dcterms:W3CDTF">2026-09-18T18:38:00Z</dcterms:modified>
</cp:coreProperties>
</file>